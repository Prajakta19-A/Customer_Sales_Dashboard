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ExcellisFun\Excel Dashboard\Customer_Sales_Dashboard\"/>
    </mc:Choice>
  </mc:AlternateContent>
  <xr:revisionPtr revIDLastSave="0" documentId="13_ncr:1_{3DAFC69B-C973-41E9-81F9-9BF73D73CDFE}" xr6:coauthVersionLast="47" xr6:coauthVersionMax="47" xr10:uidLastSave="{00000000-0000-0000-0000-000000000000}"/>
  <bookViews>
    <workbookView xWindow="-120" yWindow="-120" windowWidth="20730" windowHeight="11160" xr2:uid="{346724B3-1C49-40AE-AA36-C77CF5D6DD09}"/>
  </bookViews>
  <sheets>
    <sheet name="Dashboard Sheet" sheetId="7" r:id="rId1"/>
    <sheet name="Pivot Table" sheetId="6" r:id="rId2"/>
    <sheet name="Sheet1" sheetId="8" r:id="rId3"/>
    <sheet name="Sheet2" sheetId="9" r:id="rId4"/>
    <sheet name="Questions &amp; KPIs" sheetId="2" r:id="rId5"/>
    <sheet name="Popular Products" sheetId="10" r:id="rId6"/>
    <sheet name="Geograpical Chart" sheetId="11" r:id="rId7"/>
    <sheet name="Sheet5" sheetId="12" r:id="rId8"/>
    <sheet name="Data" sheetId="1" r:id="rId9"/>
  </sheets>
  <definedNames>
    <definedName name="_xlchart.v5.0" hidden="1">'Geograpical Chart'!$K$3:$L$3</definedName>
    <definedName name="_xlchart.v5.1" hidden="1">'Geograpical Chart'!$K$4:$L$61</definedName>
    <definedName name="_xlchart.v5.2" hidden="1">'Geograpical Chart'!$M$3</definedName>
    <definedName name="_xlchart.v5.3" hidden="1">'Geograpical Chart'!$M$4:$M$61</definedName>
    <definedName name="_xlchart.v5.4" hidden="1">'Geograpical Chart'!$N$3</definedName>
    <definedName name="_xlchart.v5.5" hidden="1">'Geograpical Chart'!$N$4:$N$61</definedName>
    <definedName name="_xlchart.v5.6" hidden="1">'Geograpical Chart'!$F$3:$G$3</definedName>
    <definedName name="_xlchart.v5.7" hidden="1">'Geograpical Chart'!$F$4:$G$61</definedName>
    <definedName name="_xlchart.v5.8" hidden="1">'Geograpical Chart'!$H$3</definedName>
    <definedName name="_xlchart.v5.9" hidden="1">'Geograpical Chart'!$H$4:$H$61</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2" i="11" l="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4"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4" i="11"/>
  <c r="G4" i="11"/>
  <c r="H4" i="11"/>
  <c r="G5" i="11"/>
  <c r="H5" i="11"/>
  <c r="G6" i="11"/>
  <c r="H6" i="11"/>
  <c r="G7" i="11"/>
  <c r="H7" i="11"/>
  <c r="G8" i="11"/>
  <c r="H8" i="11"/>
  <c r="G9" i="11"/>
  <c r="H9" i="11"/>
  <c r="G10" i="11"/>
  <c r="H10" i="11"/>
  <c r="G11" i="11"/>
  <c r="H11" i="11"/>
  <c r="G12" i="11"/>
  <c r="H12" i="11"/>
  <c r="G13" i="11"/>
  <c r="H13" i="11"/>
  <c r="G14" i="11"/>
  <c r="H14" i="11"/>
  <c r="G15" i="11"/>
  <c r="H15" i="11"/>
  <c r="G16" i="11"/>
  <c r="H16" i="11"/>
  <c r="G17" i="11"/>
  <c r="H17" i="11"/>
  <c r="G18" i="11"/>
  <c r="H18" i="11"/>
  <c r="G19" i="11"/>
  <c r="H19" i="11"/>
  <c r="G20" i="11"/>
  <c r="H20" i="11"/>
  <c r="G21" i="11"/>
  <c r="H21" i="11"/>
  <c r="G22" i="11"/>
  <c r="H22" i="11"/>
  <c r="G23" i="11"/>
  <c r="H23" i="11"/>
  <c r="G24" i="11"/>
  <c r="H24" i="11"/>
  <c r="G25" i="11"/>
  <c r="H25" i="11"/>
  <c r="G26" i="11"/>
  <c r="H26" i="11"/>
  <c r="G27" i="11"/>
  <c r="H27" i="11"/>
  <c r="G28" i="11"/>
  <c r="H28" i="11"/>
  <c r="G29" i="11"/>
  <c r="H29" i="11"/>
  <c r="G30" i="11"/>
  <c r="H30" i="11"/>
  <c r="G31" i="11"/>
  <c r="H31" i="11"/>
  <c r="G32" i="11"/>
  <c r="H32" i="11"/>
  <c r="G33" i="11"/>
  <c r="H33" i="11"/>
  <c r="G34" i="11"/>
  <c r="H34" i="11"/>
  <c r="G35" i="11"/>
  <c r="H35" i="11"/>
  <c r="G36" i="11"/>
  <c r="H36" i="11"/>
  <c r="G37" i="11"/>
  <c r="H37" i="11"/>
  <c r="G38" i="11"/>
  <c r="H38" i="11"/>
  <c r="G39" i="11"/>
  <c r="H39" i="11"/>
  <c r="G40" i="11"/>
  <c r="H40" i="11"/>
  <c r="G41" i="11"/>
  <c r="H41" i="11"/>
  <c r="G42" i="11"/>
  <c r="H42" i="11"/>
  <c r="G43" i="11"/>
  <c r="H43" i="11"/>
  <c r="G44" i="11"/>
  <c r="H44" i="11"/>
  <c r="G45" i="11"/>
  <c r="H45" i="11"/>
  <c r="G46" i="11"/>
  <c r="H46" i="11"/>
  <c r="G47" i="11"/>
  <c r="H47" i="11"/>
  <c r="G48" i="11"/>
  <c r="H48" i="11"/>
  <c r="G49" i="11"/>
  <c r="H49" i="11"/>
  <c r="G50" i="11"/>
  <c r="H50" i="11"/>
  <c r="G51" i="11"/>
  <c r="H51" i="11"/>
  <c r="H52" i="11"/>
  <c r="G53" i="11"/>
  <c r="H53" i="11"/>
  <c r="G54" i="11"/>
  <c r="H54" i="11"/>
  <c r="G55" i="11"/>
  <c r="H55" i="11"/>
  <c r="G56" i="11"/>
  <c r="H56"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4" i="11"/>
  <c r="J5" i="8"/>
  <c r="K5" i="8"/>
  <c r="L5" i="8"/>
  <c r="M5" i="8"/>
  <c r="J6" i="8"/>
  <c r="K6" i="8"/>
  <c r="L6" i="8"/>
  <c r="M6" i="8"/>
  <c r="J7" i="8"/>
  <c r="K7" i="8"/>
  <c r="L7" i="8"/>
  <c r="M7" i="8"/>
  <c r="J8" i="8"/>
  <c r="K8" i="8"/>
  <c r="L8" i="8"/>
  <c r="M8" i="8"/>
  <c r="J9" i="8"/>
  <c r="K9" i="8"/>
  <c r="L9" i="8"/>
  <c r="M9" i="8"/>
  <c r="K4" i="8"/>
  <c r="L4" i="8"/>
  <c r="M4" i="8"/>
  <c r="J4" i="8"/>
  <c r="I6" i="8"/>
  <c r="I7" i="8"/>
  <c r="I8" i="8"/>
  <c r="I9" i="8"/>
  <c r="I5" i="8"/>
  <c r="K4" i="6"/>
  <c r="J4" i="6"/>
  <c r="I4" i="6"/>
  <c r="H4" i="6"/>
  <c r="G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<sst xmlns="http://schemas.openxmlformats.org/spreadsheetml/2006/main" count="14641" uniqueCount="2542">
  <si>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</si>
  <si>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</si>
  <si>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</si>
  <si>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</si>
  <si>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</si>
  <si>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</si>
  <si>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</si>
  <si>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</si>
  <si>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</si>
  <si>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</si>
  <si>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</si>
  <si>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</si>
  <si>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</si>
  <si>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</si>
  <si>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</si>
  <si>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</si>
  <si>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</si>
  <si>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</si>
  <si>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</si>
  <si>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</si>
  <si>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</si>
  <si>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</si>
  <si>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</si>
  <si>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</si>
  <si>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</si>
  <si>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</si>
  <si>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</si>
  <si>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</si>
  <si>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</si>
  <si>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</si>
  <si>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</si>
  <si>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</si>
  <si>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</si>
  <si>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</si>
  <si>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</si>
  <si>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</si>
  <si>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</si>
  <si>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</si>
  <si>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</si>
  <si>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</si>
  <si>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</si>
  <si>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</si>
  <si>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</si>
  <si>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</si>
  <si>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</si>
  <si>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</si>
  <si>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</si>
  <si>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</si>
  <si>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</si>
  <si>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</si>
  <si>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</si>
  <si>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</si>
  <si>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</si>
  <si>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</si>
  <si>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</si>
  <si>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</si>
  <si>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</si>
  <si>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</si>
  <si>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</si>
  <si>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</si>
  <si>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</si>
  <si>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</si>
  <si>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</si>
  <si>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</si>
  <si>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</si>
  <si>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</si>
  <si>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</si>
  <si>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</si>
  <si>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</si>
  <si>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</si>
  <si>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</si>
  <si>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</si>
  <si>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</si>
  <si>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</si>
  <si>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</si>
  <si>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</si>
  <si>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</si>
  <si>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</si>
  <si>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</si>
  <si>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</si>
  <si>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</si>
  <si>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</si>
  <si>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</si>
  <si>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</si>
  <si>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</si>
  <si>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</si>
  <si>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</si>
  <si>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</si>
  <si>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</si>
  <si>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</si>
  <si>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</si>
  <si>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</si>
  <si>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</si>
  <si>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</si>
  <si>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</si>
  <si>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</si>
  <si>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</si>
  <si>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</si>
  <si>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</si>
  <si>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</si>
  <si>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</si>
  <si>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</si>
  <si>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</si>
  <si>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</si>
  <si>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</si>
  <si>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</si>
  <si>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</si>
  <si>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</si>
  <si>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</si>
  <si>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</si>
  <si>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</si>
  <si>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</si>
  <si>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</si>
  <si>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</si>
  <si>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</si>
  <si>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</si>
  <si>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</si>
  <si>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</si>
  <si>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</si>
  <si>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</si>
  <si>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</si>
  <si>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</si>
  <si>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</si>
  <si>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</si>
  <si>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</si>
  <si>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</si>
  <si>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</si>
  <si>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</si>
  <si>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</si>
  <si>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</si>
  <si>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</si>
  <si>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</si>
  <si>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</si>
  <si>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</si>
  <si>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</si>
  <si>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</si>
  <si>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</si>
  <si>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</si>
  <si>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</si>
  <si>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</si>
  <si>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</si>
  <si>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</si>
  <si>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</si>
  <si>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</si>
  <si>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</si>
  <si>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</si>
  <si>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</si>
  <si>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</si>
  <si>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</si>
  <si>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</si>
  <si>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</si>
  <si>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</si>
  <si>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</si>
  <si>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</si>
  <si>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</si>
  <si>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</si>
  <si>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</si>
  <si>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</si>
  <si>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</si>
  <si>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</si>
  <si>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</si>
  <si>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</si>
  <si>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</si>
  <si>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</si>
  <si>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</si>
  <si>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</si>
  <si>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</si>
  <si>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</si>
  <si>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</si>
  <si>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</si>
  <si>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</si>
  <si>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</si>
  <si>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</si>
  <si>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</si>
  <si>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</si>
  <si>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</si>
  <si>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</si>
  <si>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</si>
  <si>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</si>
  <si>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</si>
  <si>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</si>
  <si>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</si>
  <si>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</si>
  <si>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</si>
  <si>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</si>
  <si>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</si>
  <si>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</si>
  <si>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</si>
  <si>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</si>
  <si>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</si>
  <si>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</si>
  <si>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</si>
  <si>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</si>
  <si>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</si>
  <si>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</si>
  <si>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</si>
  <si>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</si>
  <si>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</si>
  <si>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</si>
  <si>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</si>
  <si>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</si>
  <si>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</si>
  <si>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</si>
  <si>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</si>
  <si>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</si>
  <si>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</si>
  <si>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</si>
  <si>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</si>
  <si>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</si>
  <si>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</si>
  <si>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</si>
  <si>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</si>
  <si>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</si>
  <si>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</si>
  <si>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</si>
  <si>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</si>
  <si>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</si>
  <si>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</si>
  <si>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</si>
  <si>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</si>
  <si>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</si>
  <si>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</si>
  <si>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</si>
  <si>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</si>
  <si>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</si>
  <si>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</si>
  <si>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</si>
  <si>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</si>
  <si>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</si>
  <si>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</si>
  <si>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</si>
  <si>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</si>
  <si>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</si>
  <si>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</si>
  <si>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</si>
  <si>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</si>
  <si>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</si>
  <si>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</si>
  <si>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</si>
  <si>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</si>
  <si>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</si>
  <si>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</si>
  <si>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</si>
  <si>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</si>
  <si>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</si>
  <si>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</si>
  <si>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</si>
  <si>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</si>
  <si>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</si>
  <si>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</si>
  <si>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</si>
  <si>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</si>
  <si>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</si>
  <si>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</si>
  <si>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</si>
  <si>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</si>
  <si>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</si>
  <si>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</si>
  <si>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</si>
  <si>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</si>
  <si>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</si>
  <si>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</si>
  <si>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</si>
  <si>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</si>
  <si>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</si>
  <si>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</si>
  <si>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</si>
  <si>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</si>
  <si>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</si>
  <si>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</si>
  <si>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</si>
  <si>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</si>
  <si>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</si>
  <si>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</si>
  <si>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</si>
  <si>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</si>
  <si>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</si>
  <si>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</si>
  <si>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</si>
  <si>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</si>
  <si>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</si>
  <si>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</si>
  <si>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</si>
  <si>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</si>
  <si>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</si>
  <si>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</si>
  <si>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</si>
  <si>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</si>
  <si>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</si>
  <si>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</si>
  <si>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</si>
  <si>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</si>
  <si>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</si>
  <si>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</si>
  <si>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</si>
  <si>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</si>
  <si>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</si>
  <si>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</si>
  <si>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</si>
  <si>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</si>
  <si>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</si>
  <si>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</si>
  <si>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</si>
  <si>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</si>
  <si>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</si>
  <si>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</si>
  <si>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</si>
  <si>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</si>
  <si>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</si>
  <si>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</si>
  <si>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</si>
  <si>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</si>
  <si>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</si>
  <si>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</si>
  <si>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</si>
  <si>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</si>
  <si>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</si>
  <si>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</si>
  <si>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</si>
  <si>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</si>
  <si>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</si>
  <si>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</si>
  <si>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</si>
  <si>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</si>
  <si>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</si>
  <si>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</si>
  <si>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</si>
  <si>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</si>
  <si>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</si>
  <si>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</si>
  <si>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</si>
  <si>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</si>
  <si>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</si>
  <si>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</si>
  <si>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</si>
  <si>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</si>
  <si>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</si>
  <si>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</si>
  <si>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</si>
  <si>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</si>
  <si>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</si>
  <si>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</si>
  <si>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</si>
  <si>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</si>
  <si>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</si>
  <si>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</si>
  <si>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</si>
  <si>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</si>
  <si>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</si>
  <si>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</si>
  <si>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</si>
  <si>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</si>
  <si>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</si>
  <si>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</si>
  <si>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</si>
  <si>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</si>
  <si>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</si>
  <si>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</si>
  <si>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</si>
  <si>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</si>
  <si>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</si>
  <si>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</si>
  <si>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</si>
  <si>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</si>
  <si>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</si>
  <si>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</si>
  <si>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</si>
  <si>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</si>
  <si>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</si>
  <si>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</si>
  <si>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</si>
  <si>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</si>
  <si>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</si>
  <si>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</si>
  <si>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</si>
  <si>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</si>
  <si>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</si>
  <si>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</si>
  <si>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</si>
  <si>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</si>
  <si>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</si>
  <si>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</si>
  <si>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</si>
  <si>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</si>
  <si>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</si>
  <si>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</si>
  <si>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</si>
  <si>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</si>
  <si>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</si>
  <si>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</si>
  <si>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</si>
  <si>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</si>
  <si>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</si>
  <si>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</si>
  <si>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</si>
  <si>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</si>
  <si>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</si>
  <si>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</si>
  <si>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</si>
  <si>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</si>
  <si>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</si>
  <si>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</si>
  <si>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</si>
  <si>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</si>
  <si>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</si>
  <si>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</si>
  <si>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</si>
  <si>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</si>
  <si>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</si>
  <si>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</si>
  <si>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</si>
  <si>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</si>
  <si>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</si>
  <si>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</si>
  <si>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</si>
  <si>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</si>
  <si>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</si>
  <si>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</si>
  <si>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</si>
  <si>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</si>
  <si>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</si>
  <si>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</si>
  <si>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</si>
  <si>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</si>
  <si>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</si>
  <si>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</si>
  <si>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</si>
  <si>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</si>
  <si>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</si>
  <si>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</si>
  <si>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</si>
  <si>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</si>
  <si>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</si>
  <si>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</si>
  <si>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</si>
  <si>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</si>
  <si>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</si>
  <si>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</si>
  <si>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</si>
  <si>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</si>
  <si>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</si>
  <si>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</si>
  <si>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</si>
  <si>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</si>
  <si>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</si>
  <si>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</si>
  <si>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</si>
  <si>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</si>
  <si>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</si>
  <si>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</si>
  <si>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</si>
  <si>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</si>
  <si>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</si>
  <si>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</si>
  <si>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</si>
  <si>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</si>
  <si>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</si>
  <si>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</si>
  <si>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</si>
  <si>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</si>
  <si>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</si>
  <si>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</si>
  <si>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</si>
  <si>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</si>
  <si>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</si>
  <si>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</si>
  <si>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</si>
  <si>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</si>
  <si>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</si>
  <si>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</si>
  <si>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</si>
  <si>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</si>
  <si>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</si>
  <si>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</si>
  <si>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</si>
  <si>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</si>
  <si>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</si>
  <si>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</si>
  <si>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</si>
  <si>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</si>
  <si>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</si>
  <si>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</si>
  <si>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</si>
  <si>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</si>
  <si>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</si>
  <si>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</si>
  <si>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</si>
  <si>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</si>
  <si>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</si>
  <si>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</si>
  <si>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</si>
  <si>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</si>
  <si>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</si>
  <si>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</si>
  <si>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</si>
  <si>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</si>
  <si>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</si>
  <si>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</si>
  <si>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</si>
  <si>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</si>
  <si>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</si>
  <si>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</si>
  <si>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</si>
  <si>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</si>
  <si>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</si>
  <si>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</si>
  <si>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</si>
  <si>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</si>
  <si>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</si>
  <si>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</si>
  <si>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</si>
  <si>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</si>
  <si>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</si>
  <si>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</si>
  <si>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</si>
  <si>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</si>
  <si>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</si>
  <si>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</si>
  <si>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</si>
  <si>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</si>
  <si>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</si>
  <si>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</si>
  <si>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</si>
  <si>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</si>
  <si>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</si>
  <si>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</si>
  <si>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</si>
  <si>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</si>
  <si>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</si>
  <si>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</si>
  <si>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</si>
  <si>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</si>
  <si>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</si>
  <si>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</si>
  <si>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</si>
  <si>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</si>
  <si>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</si>
  <si>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</si>
  <si>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</si>
  <si>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</si>
  <si>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</si>
  <si>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</si>
  <si>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</si>
  <si>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</si>
  <si>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</si>
  <si>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</si>
  <si>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</si>
  <si>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</si>
  <si>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</si>
  <si>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</si>
  <si>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</si>
  <si>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</si>
  <si>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</si>
  <si>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</si>
  <si>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</si>
  <si>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</si>
  <si>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</si>
  <si>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</si>
  <si>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</si>
  <si>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</si>
  <si>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</si>
  <si>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</si>
  <si>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</si>
  <si>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</si>
  <si>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</si>
  <si>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</si>
  <si>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</si>
  <si>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</si>
  <si>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</si>
  <si>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</si>
  <si>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</si>
  <si>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</si>
  <si>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</si>
  <si>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</si>
  <si>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</si>
  <si>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</si>
  <si>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</si>
  <si>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</si>
  <si>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</si>
  <si>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</si>
  <si>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</si>
  <si>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</si>
  <si>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</si>
  <si>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</si>
  <si>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</si>
  <si>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</si>
  <si>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</si>
  <si>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</si>
  <si>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</si>
  <si>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</si>
  <si>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</si>
  <si>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</si>
  <si>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</si>
  <si>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</si>
  <si>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</si>
  <si>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</si>
  <si>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</si>
  <si>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</si>
  <si>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</si>
  <si>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</si>
  <si>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</si>
  <si>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</si>
  <si>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</si>
  <si>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</si>
  <si>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</si>
  <si>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</si>
  <si>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</si>
  <si>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</si>
  <si>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</si>
  <si>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</si>
  <si>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</si>
  <si>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</si>
  <si>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</si>
  <si>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</si>
  <si>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</si>
  <si>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</si>
  <si>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</si>
  <si>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</si>
  <si>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</si>
  <si>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</si>
  <si>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</si>
  <si>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</si>
  <si>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</si>
  <si>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</si>
  <si>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</si>
  <si>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</si>
  <si>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</si>
  <si>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</si>
  <si>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</si>
  <si>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</si>
  <si>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</si>
  <si>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</si>
  <si>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</si>
  <si>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</si>
  <si>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</si>
  <si>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</si>
  <si>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</si>
  <si>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</si>
  <si>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</si>
  <si>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</si>
  <si>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</si>
  <si>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</si>
  <si>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</si>
  <si>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</si>
  <si>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</si>
  <si>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</si>
  <si>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</si>
  <si>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</si>
  <si>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</si>
  <si>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</si>
  <si>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</si>
  <si>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</si>
  <si>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</si>
  <si>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</si>
  <si>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</si>
  <si>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</si>
  <si>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</si>
  <si>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</si>
  <si>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</si>
  <si>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</si>
  <si>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</si>
  <si>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</si>
  <si>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</si>
  <si>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</si>
  <si>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</si>
  <si>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</si>
  <si>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</si>
  <si>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</si>
  <si>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</si>
  <si>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</si>
  <si>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</si>
  <si>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</si>
  <si>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</si>
  <si>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</si>
  <si>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</si>
  <si>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</si>
  <si>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</si>
  <si>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</si>
  <si>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</si>
  <si>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</si>
  <si>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</si>
  <si>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</si>
  <si>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</si>
  <si>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</si>
  <si>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</si>
  <si>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</si>
  <si>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</si>
  <si>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</si>
  <si>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</si>
  <si>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</si>
  <si>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</si>
  <si>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</si>
  <si>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</si>
  <si>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</si>
  <si>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</si>
  <si>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</si>
  <si>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</si>
  <si>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</si>
  <si>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</si>
  <si>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</si>
  <si>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</si>
  <si>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</si>
  <si>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</si>
  <si>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</si>
  <si>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</si>
  <si>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</si>
  <si>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</si>
  <si>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</si>
  <si>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</si>
  <si>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</si>
  <si>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</si>
  <si>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</si>
  <si>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</si>
  <si>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</si>
  <si>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</si>
  <si>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</si>
  <si>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</si>
  <si>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</si>
  <si>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</si>
  <si>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</si>
  <si>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</si>
  <si>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</si>
  <si>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</si>
  <si>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</si>
  <si>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</si>
  <si>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</si>
  <si>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</si>
  <si>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</si>
  <si>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</si>
  <si>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</si>
  <si>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</si>
  <si>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</si>
  <si>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</si>
  <si>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</si>
  <si>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</si>
  <si>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</si>
  <si>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</si>
  <si>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</si>
  <si>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</si>
  <si>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</si>
  <si>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</si>
  <si>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</si>
  <si>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</si>
  <si>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</si>
  <si>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</si>
  <si>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</si>
  <si>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</si>
  <si>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</si>
  <si>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</si>
  <si>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</si>
  <si>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</si>
  <si>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</si>
  <si>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</si>
  <si>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</si>
  <si>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</si>
  <si>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</si>
  <si>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</si>
  <si>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</si>
  <si>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</si>
  <si>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</si>
  <si>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</si>
  <si>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</si>
  <si>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</si>
  <si>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</si>
  <si>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</si>
  <si>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</si>
  <si>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</si>
  <si>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</si>
  <si>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</si>
  <si>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</si>
  <si>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</si>
  <si>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</si>
  <si>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</si>
  <si>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</si>
  <si>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</si>
  <si>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</si>
  <si>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</si>
  <si>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</si>
  <si>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</si>
  <si>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</si>
  <si>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</si>
  <si>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</si>
  <si>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</si>
  <si>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</si>
  <si>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</si>
  <si>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</si>
  <si>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</si>
  <si>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</si>
  <si>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</si>
  <si>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</si>
  <si>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</si>
  <si>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</si>
  <si>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</si>
  <si>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</si>
  <si>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</si>
  <si>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</si>
  <si>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</si>
  <si>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</si>
  <si>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</si>
  <si>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</si>
  <si>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</si>
  <si>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</si>
  <si>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</si>
  <si>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</si>
  <si>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</si>
  <si>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</si>
  <si>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</si>
  <si>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</si>
  <si>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</si>
  <si>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</si>
  <si>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</si>
  <si>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</si>
  <si>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</si>
  <si>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</si>
  <si>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</si>
  <si>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</si>
  <si>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</si>
  <si>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</si>
  <si>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</si>
  <si>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</si>
  <si>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</si>
  <si>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</si>
  <si>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</si>
  <si>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</si>
  <si>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</si>
  <si>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</si>
  <si>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</si>
  <si>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</si>
  <si>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</si>
  <si>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</si>
  <si>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</si>
  <si>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</si>
  <si>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</si>
  <si>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</si>
  <si>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</si>
  <si>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</si>
  <si>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</si>
  <si>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</si>
  <si>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</si>
  <si>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</si>
  <si>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</si>
  <si>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</si>
  <si>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</si>
  <si>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</si>
  <si>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</si>
  <si>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</si>
  <si>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</si>
  <si>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</si>
  <si>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</si>
  <si>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</si>
  <si>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</si>
  <si>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</si>
  <si>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</si>
  <si>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</si>
  <si>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</si>
  <si>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</si>
  <si>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</si>
  <si>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</si>
  <si>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</si>
  <si>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</si>
  <si>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</si>
  <si>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</si>
  <si>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</si>
  <si>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</si>
  <si>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</si>
  <si>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</si>
  <si>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</si>
  <si>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</si>
  <si>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</si>
  <si>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</si>
  <si>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</si>
  <si>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</si>
  <si>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</si>
  <si>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</si>
  <si>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</si>
  <si>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</si>
  <si>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</si>
  <si>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</si>
  <si>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</si>
  <si>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</si>
  <si>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</si>
  <si>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</si>
  <si>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</si>
  <si>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</si>
  <si>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</si>
  <si>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</si>
  <si>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</si>
  <si>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</si>
  <si>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</si>
  <si>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</si>
  <si>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</si>
  <si>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</si>
  <si>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</si>
  <si>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</si>
  <si>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</si>
  <si>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</si>
  <si>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</si>
  <si>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</si>
  <si>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</si>
  <si>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</si>
  <si>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</si>
  <si>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</si>
  <si>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</si>
  <si>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</si>
  <si>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</si>
  <si>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</si>
  <si>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</si>
  <si>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</si>
  <si>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</si>
  <si>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</si>
  <si>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</si>
  <si>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</si>
  <si>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</si>
  <si>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</si>
  <si>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</si>
  <si>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</si>
  <si>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</si>
  <si>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</si>
  <si>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</si>
  <si>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</si>
  <si>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</si>
  <si>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</si>
  <si>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</si>
  <si>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</si>
  <si>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</si>
  <si>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</si>
  <si>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</si>
  <si>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</si>
  <si>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</si>
  <si>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</si>
  <si>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</si>
  <si>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</si>
  <si>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</si>
  <si>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</si>
  <si>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</si>
  <si>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</si>
  <si>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</si>
  <si>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</si>
  <si>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</si>
  <si>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</si>
  <si>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</si>
  <si>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</si>
  <si>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</si>
  <si>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</si>
  <si>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</si>
  <si>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</si>
  <si>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</si>
  <si>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</si>
  <si>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</si>
  <si>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</si>
  <si>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</si>
  <si>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</si>
  <si>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</si>
  <si>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</si>
  <si>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</si>
  <si>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</si>
  <si>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</si>
  <si>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</si>
  <si>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</si>
  <si>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</si>
  <si>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</si>
  <si>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</si>
  <si>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</si>
  <si>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</si>
  <si>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</si>
  <si>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</si>
  <si>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</si>
  <si>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</si>
  <si>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</si>
  <si>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</si>
  <si>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</si>
  <si>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</si>
  <si>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</si>
  <si>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</si>
  <si>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</si>
  <si>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</si>
  <si>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</si>
  <si>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</si>
  <si>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</si>
  <si>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</si>
  <si>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</si>
  <si>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</si>
  <si>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</si>
  <si>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</si>
  <si>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</si>
  <si>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</si>
  <si>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</si>
  <si>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</si>
  <si>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</si>
  <si>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</si>
  <si>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</si>
  <si>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</si>
  <si>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</si>
  <si>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</si>
  <si>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</si>
  <si>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</si>
  <si>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</si>
  <si>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</si>
  <si>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</si>
  <si>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</si>
  <si>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</si>
  <si>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</si>
  <si>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</si>
  <si>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</si>
  <si>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</si>
  <si>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</si>
  <si>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</si>
  <si>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</si>
  <si>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</si>
  <si>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</si>
  <si>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</si>
  <si>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</si>
  <si>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</si>
  <si>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</si>
  <si>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</si>
  <si>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</si>
  <si>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</si>
  <si>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</si>
  <si>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</si>
  <si>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</si>
  <si>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</si>
  <si>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</si>
  <si>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</si>
  <si>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</si>
  <si>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</si>
  <si>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</si>
  <si>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</si>
  <si>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</si>
  <si>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</si>
  <si>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</si>
  <si>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</si>
  <si>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</si>
  <si>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</si>
  <si>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</si>
  <si>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</si>
  <si>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</si>
  <si>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</si>
  <si>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</si>
  <si>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</si>
  <si>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</si>
  <si>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</si>
  <si>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</si>
  <si>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</si>
  <si>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</si>
  <si>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</si>
  <si>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</si>
  <si>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</si>
  <si>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</si>
  <si>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</si>
  <si>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</si>
  <si>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</si>
  <si>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</si>
  <si>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</si>
  <si>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</si>
  <si>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</si>
  <si>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</si>
  <si>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</si>
  <si>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</si>
  <si>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</si>
  <si>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</si>
  <si>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</si>
  <si>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</si>
  <si>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</si>
  <si>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</si>
  <si>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</si>
  <si>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</si>
  <si>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</si>
  <si>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</si>
  <si>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</si>
  <si>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</si>
  <si>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</si>
  <si>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</si>
  <si>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</si>
  <si>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</si>
  <si>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</si>
  <si>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</si>
  <si>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</si>
  <si>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</si>
  <si>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</si>
  <si>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</si>
  <si>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</si>
  <si>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</si>
  <si>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</si>
  <si>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</si>
  <si>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</si>
  <si>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</si>
  <si>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</si>
  <si>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</si>
  <si>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</si>
  <si>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</si>
  <si>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</si>
  <si>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</si>
  <si>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</si>
  <si>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</si>
  <si>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</si>
  <si>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</si>
  <si>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</si>
  <si>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</si>
  <si>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</si>
  <si>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</si>
  <si>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</si>
  <si>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</si>
  <si>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</si>
  <si>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</si>
  <si>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</si>
  <si>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</si>
  <si>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</si>
  <si>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</si>
  <si>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</si>
  <si>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</si>
  <si>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</si>
  <si>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</si>
  <si>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</si>
  <si>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</si>
  <si>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</si>
  <si>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</si>
  <si>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</si>
  <si>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</si>
  <si>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</si>
  <si>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</si>
  <si>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</si>
  <si>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</si>
  <si>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</si>
  <si>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</si>
  <si>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</si>
  <si>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</si>
  <si>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</si>
  <si>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</si>
  <si>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</si>
  <si>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</si>
  <si>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</si>
  <si>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</si>
  <si>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</si>
  <si>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</si>
  <si>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</si>
  <si>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</si>
  <si>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</si>
  <si>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</si>
  <si>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</si>
  <si>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</si>
  <si>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</si>
  <si>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</si>
  <si>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</si>
  <si>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</si>
  <si>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</si>
  <si>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</si>
  <si>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</si>
  <si>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</si>
  <si>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</si>
  <si>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</si>
  <si>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</si>
  <si>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</si>
  <si>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</si>
  <si>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</si>
  <si>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</si>
  <si>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</si>
  <si>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</si>
  <si>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</si>
  <si>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</si>
  <si>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</si>
  <si>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</si>
  <si>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</si>
  <si>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</si>
  <si>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</si>
  <si>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</si>
  <si>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</si>
  <si>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</si>
  <si>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</si>
  <si>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</si>
  <si>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</si>
  <si>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</si>
  <si>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</si>
  <si>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</si>
  <si>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</si>
  <si>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</si>
  <si>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</si>
  <si>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</si>
  <si>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</si>
  <si>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</si>
  <si>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</si>
  <si>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</si>
  <si>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</si>
  <si>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</si>
  <si>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</si>
  <si>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</si>
  <si>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</si>
  <si>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</si>
  <si>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</si>
  <si>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</si>
  <si>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</si>
  <si>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</si>
  <si>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</si>
  <si>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</si>
  <si>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</si>
  <si>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</si>
  <si>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</si>
  <si>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</si>
  <si>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</si>
  <si>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</si>
  <si>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</si>
  <si>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</si>
  <si>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</si>
  <si>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</si>
  <si>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</si>
  <si>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</si>
  <si>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</si>
  <si>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</si>
  <si>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</si>
  <si>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</si>
  <si>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</si>
  <si>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</si>
  <si>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</si>
  <si>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</si>
  <si>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</si>
  <si>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</si>
  <si>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</si>
  <si>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</si>
  <si>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</si>
  <si>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</si>
  <si>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</si>
  <si>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</si>
  <si>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</si>
  <si>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</si>
  <si>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</si>
  <si>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</si>
  <si>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</si>
  <si>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</si>
  <si>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</si>
  <si>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</si>
  <si>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</si>
  <si>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</si>
  <si>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</si>
  <si>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</si>
  <si>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</si>
  <si>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</si>
  <si>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</si>
  <si>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</si>
  <si>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</si>
  <si>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</si>
  <si>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</si>
  <si>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</si>
  <si>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</si>
  <si>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</si>
  <si>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</si>
  <si>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</si>
  <si>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</si>
  <si>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</si>
  <si>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</si>
  <si>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</si>
  <si>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</si>
  <si>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</si>
  <si>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</si>
  <si>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</si>
  <si>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</si>
  <si>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</si>
  <si>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</si>
  <si>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</si>
  <si>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</si>
  <si>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</si>
  <si>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</si>
  <si>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</si>
  <si>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</si>
  <si>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</si>
  <si>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</si>
  <si>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</si>
  <si>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</si>
  <si>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</si>
  <si>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</si>
  <si>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</si>
  <si>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</si>
  <si>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</si>
  <si>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</si>
  <si>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</si>
  <si>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</si>
  <si>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</si>
  <si>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</si>
  <si>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</si>
  <si>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</si>
  <si>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</si>
  <si>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</si>
  <si>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</si>
  <si>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</si>
  <si>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</si>
  <si>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</si>
  <si>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</si>
  <si>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</si>
  <si>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</si>
  <si>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</si>
  <si>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</si>
  <si>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</si>
  <si>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</si>
  <si>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</si>
  <si>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</si>
  <si>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</si>
  <si>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</si>
  <si>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</si>
  <si>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</si>
  <si>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</si>
  <si>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</si>
  <si>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</si>
  <si>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</si>
  <si>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</si>
  <si>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</si>
  <si>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</si>
  <si>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</si>
  <si>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</si>
  <si>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</si>
  <si>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</si>
  <si>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</si>
  <si>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</si>
  <si>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</si>
  <si>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</si>
  <si>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</si>
  <si>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</si>
  <si>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</si>
  <si>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</si>
  <si>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</si>
  <si>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</si>
  <si>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</si>
  <si>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</si>
  <si>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</si>
  <si>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</si>
  <si>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</si>
  <si>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</si>
  <si>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</si>
  <si>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</si>
  <si>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</si>
  <si>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</si>
  <si>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</si>
  <si>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</si>
  <si>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</si>
  <si>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</si>
  <si>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</si>
  <si>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</si>
  <si>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</si>
  <si>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</si>
  <si>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</si>
  <si>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</si>
  <si>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</si>
  <si>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</si>
  <si>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</si>
  <si>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</si>
  <si>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</si>
  <si>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</si>
  <si>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</si>
  <si>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</si>
  <si>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</si>
  <si>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</si>
  <si>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</si>
  <si>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</si>
  <si>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</si>
  <si>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</si>
  <si>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</si>
  <si>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</si>
  <si>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</si>
  <si>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</si>
  <si>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</si>
  <si>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</si>
  <si>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</si>
  <si>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</si>
  <si>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</si>
  <si>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</si>
  <si>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</si>
  <si>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</si>
  <si>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</si>
  <si>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</si>
  <si>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</si>
  <si>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</si>
  <si>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</si>
  <si>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</si>
  <si>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</si>
  <si>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</si>
  <si>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</si>
  <si>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</si>
  <si>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</si>
  <si>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</si>
  <si>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</si>
  <si>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</si>
  <si>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</si>
  <si>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</si>
  <si>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</si>
  <si>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</si>
  <si>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</si>
  <si>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</si>
  <si>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</si>
  <si>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</si>
  <si>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</si>
  <si>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</si>
  <si>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</si>
  <si>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</si>
  <si>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</si>
  <si>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</si>
  <si>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</si>
  <si>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</si>
  <si>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</si>
  <si>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</si>
  <si>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</si>
  <si>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</si>
  <si>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</si>
  <si>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</si>
  <si>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</si>
  <si>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</si>
  <si>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</si>
  <si>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</si>
  <si>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</si>
  <si>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</si>
  <si>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</si>
  <si>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</si>
  <si>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</si>
  <si>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</si>
  <si>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</si>
  <si>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</si>
  <si>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</si>
  <si>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</si>
  <si>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</si>
  <si>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</si>
  <si>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</si>
  <si>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</si>
  <si>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</si>
  <si>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</si>
  <si>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</si>
  <si>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</si>
  <si>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</si>
  <si>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</si>
  <si>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</si>
  <si>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</si>
  <si>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</si>
  <si>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</si>
  <si>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</si>
  <si>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</si>
  <si>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</si>
  <si>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</si>
  <si>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</si>
  <si>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</si>
  <si>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</si>
  <si>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</si>
  <si>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</si>
  <si>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</si>
  <si>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</si>
  <si>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</si>
  <si>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</si>
  <si>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</si>
  <si>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</si>
  <si>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</si>
  <si>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</si>
  <si>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</si>
  <si>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</si>
  <si>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</si>
  <si>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</si>
  <si>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</si>
  <si>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</si>
  <si>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</si>
  <si>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</si>
  <si>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</si>
  <si>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</si>
  <si>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</si>
  <si>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</si>
  <si>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</si>
  <si>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</si>
  <si>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</si>
  <si>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</si>
  <si>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</si>
  <si>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</si>
  <si>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</si>
  <si>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</si>
  <si>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</si>
  <si>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</si>
  <si>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</si>
  <si>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</si>
  <si>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</si>
  <si>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</si>
  <si>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</si>
  <si>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</si>
  <si>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</si>
  <si>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</si>
  <si>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</si>
  <si>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</si>
  <si>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</si>
  <si>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</si>
  <si>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</si>
  <si>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</si>
  <si>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</si>
  <si>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</si>
  <si>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</si>
  <si>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</si>
  <si>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</si>
  <si>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</si>
  <si>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</si>
  <si>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</si>
  <si>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</si>
  <si>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</si>
  <si>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</si>
  <si>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</si>
  <si>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</si>
  <si>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</si>
  <si>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</si>
  <si>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</si>
  <si>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</si>
  <si>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</si>
  <si>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</si>
  <si>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</si>
  <si>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</si>
  <si>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</si>
  <si>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</si>
  <si>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</si>
  <si>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</si>
  <si>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</si>
  <si>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</si>
  <si>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</si>
  <si>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</si>
  <si>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</si>
  <si>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</si>
  <si>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</si>
  <si>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</si>
  <si>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</si>
  <si>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</si>
  <si>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</si>
  <si>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</si>
  <si>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</si>
  <si>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</si>
  <si>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</si>
  <si>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</si>
  <si>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</si>
  <si>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</si>
  <si>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</si>
  <si>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</si>
  <si>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</si>
  <si>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</si>
  <si>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</si>
  <si>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</si>
  <si>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</si>
  <si>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</si>
  <si>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</si>
  <si>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</si>
  <si>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</si>
  <si>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</si>
  <si>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</si>
  <si>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</si>
  <si>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</si>
  <si>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</si>
  <si>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</si>
  <si>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</si>
  <si>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</si>
  <si>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</si>
  <si>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</si>
  <si>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</si>
  <si>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</si>
  <si>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</si>
  <si>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</si>
  <si>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</si>
  <si>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</si>
  <si>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</si>
  <si>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</si>
  <si>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</si>
  <si>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</si>
  <si>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</si>
  <si>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</si>
  <si>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</si>
  <si>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</si>
  <si>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</si>
  <si>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</si>
  <si>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</si>
  <si>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</si>
  <si>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</si>
  <si>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</si>
  <si>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</si>
  <si>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</si>
  <si>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</si>
  <si>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</si>
  <si>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</si>
  <si>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</si>
  <si>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</si>
  <si>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</si>
  <si>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</si>
  <si>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</si>
  <si>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</si>
  <si>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</si>
  <si>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</si>
  <si>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</si>
  <si>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</si>
  <si>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</si>
  <si>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</si>
  <si>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</si>
  <si>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</si>
  <si>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</si>
  <si>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</si>
  <si>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</si>
  <si>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</si>
  <si>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</si>
  <si>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</si>
  <si>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</si>
  <si>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</si>
  <si>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</si>
  <si>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</si>
  <si>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</si>
  <si>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</si>
  <si>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</si>
  <si>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</si>
  <si>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</si>
  <si>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</si>
  <si>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</si>
  <si>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</si>
  <si>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</si>
  <si>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</si>
  <si>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</si>
  <si>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</si>
  <si>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</si>
  <si>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</si>
  <si>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</si>
  <si>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</si>
  <si>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</si>
  <si>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</si>
  <si>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</si>
  <si>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</si>
  <si>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</si>
  <si>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</si>
  <si>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</si>
  <si>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</si>
  <si>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</si>
  <si>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</si>
  <si>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</si>
  <si>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</si>
  <si>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</si>
  <si>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</si>
  <si>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</si>
  <si>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</si>
  <si>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</si>
  <si>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</si>
  <si>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</si>
  <si>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</si>
  <si>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</si>
  <si>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</si>
  <si>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</si>
  <si>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</si>
  <si>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</si>
  <si>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</si>
  <si>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</si>
  <si>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</si>
  <si>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</si>
  <si>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</si>
  <si>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</si>
  <si>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</si>
  <si>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</si>
  <si>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</si>
  <si>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</si>
  <si>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</si>
  <si>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</si>
  <si>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</si>
  <si>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</si>
  <si>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</si>
  <si>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</si>
  <si>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</si>
  <si>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</si>
  <si>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</si>
  <si>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</si>
  <si>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</si>
  <si>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</si>
  <si>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</si>
  <si>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</si>
  <si>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</si>
  <si>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</si>
  <si>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</si>
  <si>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</si>
  <si>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</si>
  <si>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</si>
  <si>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</si>
  <si>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</si>
  <si>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</si>
  <si>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</si>
  <si>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</si>
  <si>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</si>
  <si>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</si>
  <si>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</si>
  <si>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</si>
  <si>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</si>
  <si>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</si>
  <si>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</si>
  <si>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</si>
  <si>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</si>
  <si>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</si>
  <si>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</si>
  <si>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</si>
  <si>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</si>
  <si>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</si>
  <si>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</si>
  <si>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</si>
  <si>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</si>
  <si>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</si>
  <si>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</si>
  <si>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</si>
  <si>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</si>
  <si>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</si>
  <si>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</si>
  <si>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</si>
  <si>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</si>
  <si>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</si>
  <si>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</si>
  <si>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</si>
  <si>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</si>
  <si>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</si>
  <si>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</si>
  <si>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</si>
  <si>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</si>
  <si>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</si>
  <si>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</si>
  <si>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</si>
  <si>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</si>
  <si>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</si>
  <si>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</si>
  <si>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</si>
  <si>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</si>
  <si>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</si>
  <si>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</si>
  <si>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</si>
  <si>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</si>
  <si>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</si>
  <si>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</si>
  <si>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</si>
  <si>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</si>
  <si>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</si>
  <si>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</si>
  <si>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</si>
  <si>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</si>
  <si>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</si>
  <si>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</si>
  <si>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</si>
  <si>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</si>
  <si>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</si>
  <si>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</si>
  <si>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</si>
  <si>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</si>
  <si>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</si>
  <si>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</si>
  <si>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</si>
  <si>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</si>
  <si>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</si>
  <si>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</si>
  <si>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</si>
  <si>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</si>
  <si>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</si>
  <si>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</si>
  <si>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</si>
  <si>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</si>
  <si>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</si>
  <si>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</si>
  <si>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</si>
  <si>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</si>
  <si>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</si>
  <si>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</si>
  <si>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</si>
  <si>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</si>
  <si>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</si>
  <si>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</si>
  <si>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</si>
  <si>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</si>
  <si>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</si>
  <si>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</si>
  <si>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</si>
  <si>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</si>
  <si>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</si>
  <si>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</si>
  <si>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</si>
  <si>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</si>
  <si>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</si>
  <si>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</si>
  <si>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</si>
  <si>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</si>
  <si>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</si>
  <si>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</si>
  <si>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</si>
  <si>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</si>
  <si>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</si>
  <si>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</si>
  <si>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</si>
  <si>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</si>
  <si>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</si>
  <si>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</si>
  <si>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</si>
  <si>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</si>
  <si>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</si>
  <si>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</si>
  <si>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</si>
  <si>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</si>
  <si>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</si>
  <si>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</si>
  <si>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</si>
  <si>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</si>
  <si>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</si>
  <si>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</si>
  <si>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</si>
  <si>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</si>
  <si>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</si>
  <si>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</si>
  <si>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</si>
  <si>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</si>
  <si>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</si>
  <si>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</si>
  <si>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</si>
  <si>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</si>
  <si>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</si>
  <si>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</si>
  <si>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</si>
  <si>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</si>
  <si>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</si>
  <si>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</si>
  <si>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</si>
  <si>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</si>
  <si>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</si>
  <si>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</si>
  <si>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</si>
  <si>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</si>
  <si>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</si>
  <si>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</si>
  <si>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</si>
  <si>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</si>
  <si>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</si>
  <si>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</si>
  <si>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</si>
  <si>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</si>
  <si>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</si>
  <si>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</si>
  <si>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</si>
  <si>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</si>
  <si>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</si>
  <si>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</si>
  <si>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</si>
  <si>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</si>
  <si>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</si>
  <si>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</si>
  <si>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</si>
  <si>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</si>
  <si>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</si>
  <si>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</si>
  <si>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</si>
  <si>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</si>
  <si>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</si>
  <si>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</si>
  <si>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</si>
  <si>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</si>
  <si>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</si>
  <si>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</si>
  <si>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</si>
  <si>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</si>
  <si>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</si>
  <si>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</si>
  <si>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</si>
  <si>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</si>
  <si>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</si>
  <si>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</si>
  <si>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</si>
  <si>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</si>
  <si>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</si>
  <si>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</si>
  <si>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</si>
  <si>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</si>
  <si>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</si>
  <si>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</si>
  <si>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</si>
  <si>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</si>
  <si>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</si>
  <si>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</si>
  <si>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</si>
  <si>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</si>
  <si>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</si>
  <si>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</si>
  <si>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</si>
  <si>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</si>
  <si>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</si>
  <si>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</si>
  <si>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</si>
  <si>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</si>
  <si>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</si>
  <si>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</si>
  <si>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</si>
  <si>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</si>
  <si>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</si>
  <si>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</si>
  <si>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</si>
  <si>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</si>
  <si>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</si>
  <si>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</si>
  <si>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</si>
  <si>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</si>
  <si>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</si>
  <si>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</si>
  <si>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</si>
  <si>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</si>
  <si>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</si>
  <si>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</si>
  <si>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</si>
  <si>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</si>
  <si>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</si>
  <si>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</si>
  <si>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</si>
  <si>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</si>
  <si>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</si>
  <si>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</si>
  <si>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</si>
  <si>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</si>
  <si>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</si>
  <si>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</si>
  <si>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</si>
  <si>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</si>
  <si>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</si>
  <si>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</si>
  <si>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</si>
  <si>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</si>
  <si>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</si>
  <si>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</si>
  <si>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</si>
  <si>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</si>
  <si>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</si>
  <si>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</si>
  <si>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</si>
  <si>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</si>
  <si>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</si>
  <si>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</si>
  <si>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</si>
  <si>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</si>
  <si>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</si>
  <si>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</si>
  <si>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</si>
  <si>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</si>
  <si>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</si>
  <si>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</si>
  <si>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</si>
  <si>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</si>
  <si>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</si>
  <si>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</si>
  <si>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</si>
  <si>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</si>
  <si>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</si>
  <si>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</si>
  <si>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</si>
  <si>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</si>
  <si>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</si>
  <si>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</si>
  <si>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</si>
  <si>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</si>
  <si>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</si>
  <si>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</si>
  <si>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</si>
  <si>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</si>
  <si>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</si>
  <si>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</si>
  <si>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</si>
  <si>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</si>
  <si>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</si>
  <si>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</si>
  <si>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</si>
  <si>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</si>
  <si>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</si>
  <si>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</si>
  <si>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</si>
  <si>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</si>
  <si>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</si>
  <si>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</si>
  <si>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</si>
  <si>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</si>
  <si>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</si>
  <si>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</si>
  <si>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</si>
  <si>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</si>
  <si>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</si>
  <si>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</si>
  <si>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</si>
  <si>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</si>
  <si>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</si>
  <si>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</si>
  <si>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</si>
  <si>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</si>
  <si>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</si>
  <si>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</si>
  <si>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</si>
  <si>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</si>
  <si>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</si>
  <si>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</si>
  <si>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</si>
  <si>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</si>
  <si>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</si>
  <si>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</si>
  <si>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</si>
  <si>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</si>
  <si>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</si>
  <si>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</si>
  <si>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</si>
  <si>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</si>
  <si>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</si>
  <si>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</si>
  <si>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</si>
  <si>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</si>
  <si>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</si>
  <si>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</si>
  <si>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</si>
  <si>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</si>
  <si>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</si>
  <si>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</si>
  <si>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</si>
  <si>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</si>
  <si>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</si>
  <si>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</si>
  <si>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</si>
  <si>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</si>
  <si>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</si>
  <si>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</si>
  <si>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</si>
  <si>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</si>
  <si>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</si>
  <si>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</si>
  <si>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</si>
  <si>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</si>
  <si>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</si>
  <si>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</si>
  <si>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</si>
  <si>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</si>
  <si>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</si>
  <si>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</si>
  <si>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</si>
  <si>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</si>
  <si>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</si>
  <si>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</si>
  <si>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</si>
  <si>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</si>
  <si>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</si>
  <si>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</si>
  <si>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</si>
  <si>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</si>
  <si>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</si>
  <si>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</si>
  <si>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</si>
  <si>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</si>
  <si>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</si>
  <si>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</si>
  <si>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</si>
  <si>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</si>
  <si>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</si>
  <si>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</si>
  <si>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</si>
  <si>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</si>
  <si>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</si>
  <si>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</si>
  <si>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</si>
  <si>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</si>
  <si>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</si>
  <si>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</si>
  <si>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</si>
  <si>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</si>
  <si>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</si>
  <si>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</si>
  <si>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</si>
  <si>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</si>
  <si>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</si>
  <si>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</si>
  <si>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</si>
  <si>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</si>
  <si>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</si>
  <si>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</si>
  <si>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</si>
  <si>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</si>
  <si>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</si>
  <si>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</si>
  <si>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</si>
  <si>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</si>
  <si>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</si>
  <si>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</si>
  <si>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</si>
  <si>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</si>
  <si>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</si>
  <si>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</si>
  <si>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</si>
  <si>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</si>
  <si>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</si>
  <si>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</si>
  <si>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</si>
  <si>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</si>
  <si>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</si>
  <si>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</si>
  <si>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</si>
  <si>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</si>
  <si>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</si>
  <si>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</si>
  <si>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</si>
  <si>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</si>
  <si>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</si>
  <si>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</si>
  <si>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</si>
  <si>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</si>
  <si>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</si>
  <si>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</si>
  <si>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</si>
  <si>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</si>
  <si>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</si>
  <si>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</si>
  <si>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</si>
  <si>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</si>
  <si>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</si>
  <si>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</si>
  <si>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</si>
  <si>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</si>
  <si>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</si>
  <si>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</si>
  <si>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</si>
  <si>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</si>
  <si>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</si>
  <si>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</si>
  <si>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</si>
  <si>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</si>
  <si>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</si>
  <si>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</si>
  <si>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</si>
  <si>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</si>
  <si>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</si>
  <si>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</si>
  <si>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</si>
  <si>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</si>
  <si>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</si>
  <si>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</si>
  <si>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</si>
  <si>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</si>
  <si>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</si>
  <si>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</si>
  <si>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</si>
  <si>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</si>
  <si>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</si>
  <si>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</si>
  <si>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</si>
  <si>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</si>
  <si>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</si>
  <si>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</si>
  <si>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</si>
  <si>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</si>
  <si>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</si>
  <si>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</si>
  <si>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</si>
  <si>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</si>
  <si>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</si>
  <si>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</si>
  <si>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</si>
  <si>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</si>
  <si>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</si>
  <si>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</si>
  <si>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</si>
  <si>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</si>
  <si>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</si>
  <si>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</si>
  <si>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</si>
  <si>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</si>
  <si>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</si>
  <si>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</si>
  <si>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</si>
  <si>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</si>
  <si>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</si>
  <si>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</si>
  <si>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</si>
  <si>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</si>
  <si>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</si>
  <si>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</si>
  <si>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</si>
  <si>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</si>
  <si>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</si>
  <si>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</si>
  <si>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</si>
  <si>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</si>
  <si>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</si>
  <si>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</si>
  <si>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</si>
  <si>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</si>
  <si>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</si>
  <si>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</si>
  <si>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</si>
  <si>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</si>
  <si>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</si>
  <si>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</si>
  <si>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</si>
  <si>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</si>
  <si>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</si>
  <si>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</si>
  <si>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</si>
  <si>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</si>
  <si>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</si>
  <si>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</si>
  <si>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</si>
  <si>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</si>
  <si>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</si>
  <si>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</si>
  <si>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</si>
  <si>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</si>
  <si>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</si>
  <si>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</si>
  <si>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</si>
  <si>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</si>
  <si>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</si>
  <si>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</si>
  <si>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</si>
  <si>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</si>
  <si>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</si>
  <si>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</si>
  <si>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</si>
  <si>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</si>
  <si>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</si>
  <si>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</si>
  <si>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</si>
  <si>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</si>
  <si>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</si>
  <si>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</si>
  <si>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</si>
  <si>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</si>
  <si>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</si>
  <si>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</si>
  <si>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</si>
  <si>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</si>
  <si>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</si>
  <si>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</si>
  <si>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</si>
  <si>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</si>
  <si>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</si>
  <si>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</si>
  <si>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</si>
  <si>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</si>
  <si>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</si>
  <si>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</si>
  <si>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</si>
  <si>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</si>
  <si>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</si>
  <si>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</si>
  <si>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</si>
  <si>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</si>
  <si>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</si>
  <si>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</si>
  <si>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</si>
  <si>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</si>
  <si>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</si>
  <si>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</si>
  <si>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</si>
  <si>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</si>
  <si>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</si>
  <si>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</si>
  <si>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</si>
  <si>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</si>
  <si>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</si>
  <si>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</si>
  <si>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</si>
  <si>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</si>
  <si>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</si>
  <si>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</si>
  <si>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</si>
  <si>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</si>
  <si>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</si>
  <si>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</si>
  <si>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</si>
  <si>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</si>
  <si>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</si>
  <si>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</si>
  <si>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</si>
  <si>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</si>
  <si>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</si>
  <si>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</si>
  <si>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</si>
  <si>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</si>
  <si>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</si>
  <si>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</si>
  <si>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</si>
  <si>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</si>
  <si>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</si>
  <si>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</si>
  <si>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</si>
  <si>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</si>
  <si>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</si>
  <si>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</si>
  <si>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</si>
  <si>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</si>
  <si>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</si>
  <si>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</si>
  <si>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</si>
  <si>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</si>
  <si>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</si>
  <si>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</si>
  <si>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</si>
  <si>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</si>
  <si>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</si>
  <si>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</si>
  <si>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</si>
  <si>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</si>
  <si>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</si>
  <si>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</si>
  <si>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</si>
  <si>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</si>
  <si>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</si>
  <si>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</si>
  <si>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</si>
  <si>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</si>
  <si>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</si>
  <si>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</si>
  <si>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</si>
  <si>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</si>
  <si>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</si>
  <si>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</si>
  <si>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</si>
  <si>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</si>
  <si>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</si>
  <si>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</si>
  <si>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</si>
  <si>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</si>
  <si>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</si>
  <si>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</si>
  <si>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</si>
  <si>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</si>
  <si>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</si>
  <si>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</si>
  <si>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</si>
  <si>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</si>
  <si>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</si>
  <si>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</si>
  <si>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</si>
  <si>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</si>
  <si>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</si>
  <si>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</si>
  <si>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</si>
  <si>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</si>
  <si>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</si>
  <si>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</si>
  <si>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</si>
  <si>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</si>
  <si>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</si>
  <si>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</si>
  <si>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</si>
  <si>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</si>
  <si>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</si>
  <si>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</si>
  <si>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</si>
  <si>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</si>
  <si>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</si>
  <si>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</si>
  <si>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</si>
  <si>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</si>
  <si>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</si>
  <si>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</si>
  <si>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</si>
  <si>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</si>
  <si>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</si>
  <si>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</si>
  <si>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</si>
  <si>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</si>
  <si>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</si>
  <si>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</si>
  <si>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</si>
  <si>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</si>
  <si>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</si>
  <si>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</si>
  <si>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</si>
  <si>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</si>
  <si>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</si>
  <si>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</si>
  <si>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</si>
  <si>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</si>
  <si>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</si>
  <si>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</si>
  <si>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</si>
  <si>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</si>
  <si>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</si>
  <si>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</si>
  <si>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</si>
  <si>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</si>
  <si>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</si>
  <si>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</si>
  <si>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</si>
  <si>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</si>
  <si>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</si>
  <si>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</si>
  <si>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</si>
  <si>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</si>
  <si>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</si>
  <si>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</si>
  <si>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</si>
  <si>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</si>
  <si>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</si>
  <si>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</si>
  <si>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</si>
  <si>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</si>
  <si>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</si>
  <si>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</si>
  <si>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</si>
  <si>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</si>
  <si>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</si>
  <si>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</si>
  <si>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</si>
  <si>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</si>
  <si>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</si>
  <si>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</si>
  <si>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</si>
  <si>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</si>
  <si>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</si>
  <si>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</si>
  <si>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</si>
  <si>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</si>
  <si>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</si>
  <si>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</si>
  <si>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</si>
  <si>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</si>
  <si>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</si>
  <si>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</si>
  <si>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</si>
  <si>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</si>
  <si>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</si>
  <si>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</si>
  <si>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</si>
  <si>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</si>
  <si>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</si>
  <si>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</si>
  <si>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</si>
  <si>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</si>
  <si>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</si>
  <si>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</si>
  <si>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</si>
  <si>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</si>
  <si>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</si>
  <si>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</si>
  <si>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</si>
  <si>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</si>
  <si>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</si>
  <si>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</si>
  <si>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</si>
  <si>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</si>
  <si>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</si>
  <si>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</si>
  <si>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</si>
  <si>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</si>
  <si>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</si>
  <si>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</si>
  <si>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</si>
  <si>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</si>
  <si>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</si>
  <si>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</si>
  <si>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</si>
  <si>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</si>
  <si>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</si>
  <si>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</si>
  <si>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</si>
  <si>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</si>
  <si>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</si>
  <si>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</si>
  <si>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</si>
  <si>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</si>
  <si>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</si>
  <si>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</si>
  <si>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</si>
  <si>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</si>
  <si>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</si>
  <si>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</si>
  <si>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</si>
  <si>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</si>
  <si>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</si>
  <si>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</si>
  <si>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</si>
  <si>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</si>
  <si>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</si>
  <si>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</si>
  <si>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</si>
  <si>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</si>
  <si>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</si>
  <si>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</si>
  <si>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</si>
  <si>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</si>
  <si>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</si>
  <si>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</si>
  <si>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</si>
  <si>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</si>
  <si>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</si>
  <si>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</si>
  <si>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</si>
  <si>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</si>
  <si>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</si>
  <si>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</si>
  <si>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</si>
  <si>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</si>
  <si>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</si>
  <si>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</si>
  <si>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</si>
  <si>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</si>
  <si>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</si>
  <si>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</si>
  <si>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</si>
  <si>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</si>
  <si>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</si>
  <si>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</si>
  <si>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</si>
  <si>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</si>
  <si>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</si>
  <si>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</si>
  <si>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</si>
  <si>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</si>
  <si>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</si>
  <si>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</si>
  <si>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</si>
  <si>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</si>
  <si>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</si>
  <si>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</si>
  <si>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</si>
  <si>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</si>
  <si>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</si>
  <si>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</si>
  <si>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</si>
  <si>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</si>
  <si>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</si>
  <si>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</si>
  <si>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</si>
  <si>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</si>
  <si>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</si>
  <si>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</si>
  <si>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</si>
  <si>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</si>
  <si>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</si>
  <si>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</si>
  <si>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</si>
  <si>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</si>
  <si>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</si>
  <si>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</si>
  <si>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</si>
  <si>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</si>
  <si>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</si>
  <si>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</si>
  <si>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</si>
  <si>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</si>
  <si>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</si>
  <si>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</si>
  <si>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Avg Ratings</t>
  </si>
  <si>
    <t>Avg Days</t>
  </si>
  <si>
    <t>Grand Total</t>
  </si>
  <si>
    <t>Female</t>
  </si>
  <si>
    <t>Male</t>
  </si>
  <si>
    <t>Other</t>
  </si>
  <si>
    <t>Unknown</t>
  </si>
  <si>
    <t>For Matrix</t>
  </si>
  <si>
    <t>6 To 10</t>
  </si>
  <si>
    <t>Quantity3</t>
  </si>
  <si>
    <t>More than 10</t>
  </si>
  <si>
    <t>California Total</t>
  </si>
  <si>
    <t>Months (Order Date)</t>
  </si>
  <si>
    <t>Jan</t>
  </si>
  <si>
    <t>Feb</t>
  </si>
  <si>
    <t>Mar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</si>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</sst>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applyFont="1"/>
    <xf numFmtId="0" fontId="0" fillId="0" borderId="0" xfId="0" pivotButton="1"/>
    <xf numFmtId="164" fontId="0" fillId="0" borderId="0" xfId="0" applyNumberFormat="1"/>
    <xf numFmtId="10" fontId="0" fillId="0" borderId="0" xfId="0" applyNumberFormat="1"/>
    <xf numFmtId="0" fontId="0" fillId="0" borderId="1" xfId="0" applyBorder="1"/>
    <xf numFmtId="165" fontId="0" fillId="0" borderId="1" xfId="0" applyNumberFormat="1" applyBorder="1"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FF6600"/>
      <color rgb="FF060202"/>
      <color rgb="FFCC9900"/>
      <color rgb="FFFF9900"/>
      <color rgb="FFCC3300"/>
      <color rgb="FF000000"/>
      <color rgb="FF339933"/>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[Customer_sales_dashboard.xlsx]Pivot Table!PvtWeek2</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Trend in the last 13 weeks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Sum of Quantity</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cat>
            <c:strRef>
              <c:f>'Pivot Table'!$A$10:$A$23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406-40F2-8DB9-753212C9C23E}"/>
            </c:ext>
          </c:extLst>
        </c:ser>
        <c:dLbls>
          <c:showLegendKey val="0"/>
          <c:showVal val="0"/>
          <c:showCatName val="0"/>
          <c:showSerName val="0"/>
          <c:showPercent val="0"/>
          <c:showBubbleSize val="0"/>
        </c:dLbls>
        <c:marker val="1"/>
        <c:smooth val="0"/>
        <c:axId val="1360367615"/>
        <c:axId val="1360365215"/>
      </c:lineChart>
      <c:lineChart>
        <c:grouping val="standard"/>
        <c:varyColors val="0"/>
        <c:ser>
          <c:idx val="1"/>
          <c:order val="1"/>
          <c:tx>
            <c:strRef>
              <c:f>'Pivot Table'!$C$9</c:f>
              <c:strCache>
                <c:ptCount val="1"/>
                <c:pt idx="0">
                  <c:v>Sum of Amount</c:v>
                </c:pt>
              </c:strCache>
            </c:strRef>
          </c:tx>
          <c:spPr>
            <a:ln w="28575" cap="rnd">
              <a:solidFill>
                <a:srgbClr val="C00000"/>
              </a:solidFill>
              <a:round/>
            </a:ln>
            <a:effectLst/>
          </c:spPr>
          <c:marker>
            <c:symbol val="circle"/>
            <c:size val="5"/>
            <c:spPr>
              <a:solidFill>
                <a:schemeClr val="accent2"/>
              </a:solidFill>
              <a:ln w="9525">
                <a:solidFill>
                  <a:schemeClr val="accent2"/>
                </a:solidFill>
              </a:ln>
              <a:effectLst/>
            </c:spPr>
          </c:marker>
          <c:cat>
            <c:strRef>
              <c:f>'Pivot Table'!$A$10:$A$23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Table'!$C$10:$C$23</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406-40F2-8DB9-753212C9C23E}"/>
            </c:ext>
          </c:extLst>
        </c:ser>
        <c:dLbls>
          <c:showLegendKey val="0"/>
          <c:showVal val="0"/>
          <c:showCatName val="0"/>
          <c:showSerName val="0"/>
          <c:showPercent val="0"/>
          <c:showBubbleSize val="0"/>
        </c:dLbls>
        <c:marker val="1"/>
        <c:smooth val="0"/>
        <c:axId val="1360370015"/>
        <c:axId val="1360367135"/>
      </c:lineChart>
      <c:catAx>
        <c:axId val="136036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365215"/>
        <c:crosses val="autoZero"/>
        <c:auto val="1"/>
        <c:lblAlgn val="ctr"/>
        <c:lblOffset val="100"/>
        <c:noMultiLvlLbl val="0"/>
      </c:catAx>
      <c:valAx>
        <c:axId val="136036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367615"/>
        <c:crosses val="autoZero"/>
        <c:crossBetween val="between"/>
      </c:valAx>
      <c:valAx>
        <c:axId val="136036713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370015"/>
        <c:crosses val="max"/>
        <c:crossBetween val="between"/>
      </c:valAx>
      <c:catAx>
        <c:axId val="1360370015"/>
        <c:scaling>
          <c:orientation val="minMax"/>
        </c:scaling>
        <c:delete val="1"/>
        <c:axPos val="b"/>
        <c:numFmt formatCode="General" sourceLinked="1"/>
        <c:majorTickMark val="out"/>
        <c:minorTickMark val="none"/>
        <c:tickLblPos val="nextTo"/>
        <c:crossAx val="136036713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[Customer_sales_dashboard.xlsx]Sheet2!PivotTable4</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How many they buy?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Sheet2!$A$2:$A$9</c:f>
              <c:strCache>
                <c:ptCount val="7"/>
                <c:pt idx="0">
                  <c:v>1</c:v>
                </c:pt>
                <c:pt idx="1">
                  <c:v>2</c:v>
                </c:pt>
                <c:pt idx="2">
                  <c:v>3</c:v>
                </c:pt>
                <c:pt idx="3">
                  <c:v>4</c:v>
                </c:pt>
                <c:pt idx="4">
                  <c:v>5</c:v>
                </c:pt>
                <c:pt idx="5">
                  <c:v>6 To 10</c:v>
                </c:pt>
                <c:pt idx="6">
                  <c:v>More than 10</c:v>
                </c:pt>
              </c:strCache>
            </c:strRef>
          </c:cat>
          <c:val>
            <c:numRef>
              <c:f>Sheet2!$B$2:$B$9</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2EB-4476-BE73-9D683CB54D6E}"/>
            </c:ext>
          </c:extLst>
        </c:ser>
        <c:dLbls>
          <c:showLegendKey val="0"/>
          <c:showVal val="0"/>
          <c:showCatName val="0"/>
          <c:showSerName val="0"/>
          <c:showPercent val="0"/>
          <c:showBubbleSize val="0"/>
        </c:dLbls>
        <c:gapWidth val="4"/>
        <c:overlap val="20"/>
        <c:axId val="1363845007"/>
        <c:axId val="1363855567"/>
      </c:barChart>
      <c:catAx>
        <c:axId val="136384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55567"/>
        <c:crosses val="autoZero"/>
        <c:auto val="1"/>
        <c:lblAlgn val="ctr"/>
        <c:lblOffset val="100"/>
        <c:noMultiLvlLbl val="0"/>
      </c:catAx>
      <c:valAx>
        <c:axId val="1363855567"/>
        <c:scaling>
          <c:orientation val="minMax"/>
        </c:scaling>
        <c:delete val="1"/>
        <c:axPos val="l"/>
        <c:numFmt formatCode="General" sourceLinked="1"/>
        <c:majorTickMark val="none"/>
        <c:minorTickMark val="none"/>
        <c:tickLblPos val="nextTo"/>
        <c:crossAx val="136384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[Customer_sales_dashboard.xlsx]Popular Products!PivotTable5</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Which products are popular?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'Popular Products'!$B$3:$B$4</c:f>
              <c:strCache>
                <c:ptCount val="1"/>
                <c:pt idx="0">
                  <c:v>Female</c:v>
                </c:pt>
              </c:strCache>
            </c:strRef>
          </c:tx>
          <c:spPr>
            <a:solidFill>
              <a:schemeClr val="accent6">
                <a:lumMod val="50000"/>
              </a:schemeClr>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7076-42F3-8DDF-5A5E9A52DC7F}"/>
            </c:ext>
          </c:extLst>
        </c:ser>
        <c:ser>
          <c:idx val="1"/>
          <c:order val="1"/>
          <c:tx>
            <c:strRef>
              <c:f>'Popular Products'!$C$3:$C$4</c:f>
              <c:strCache>
                <c:ptCount val="1"/>
                <c:pt idx="0">
                  <c:v>Male</c:v>
                </c:pt>
              </c:strCache>
            </c:strRef>
          </c:tx>
          <c:spPr>
            <a:solidFill>
              <a:srgbClr val="FF6600"/>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4068-4DE7-B34B-6F140F1D5D33}"/>
            </c:ext>
          </c:extLst>
        </c:ser>
        <c:ser>
          <c:idx val="2"/>
          <c:order val="2"/>
          <c:tx>
            <c:strRef>
              <c:f>'Popular Products'!$D$3:$D$4</c:f>
              <c:strCache>
                <c:ptCount val="1"/>
                <c:pt idx="0">
                  <c:v>Other</c:v>
                </c:pt>
              </c:strCache>
            </c:strRef>
          </c:tx>
          <c:spPr>
            <a:solidFill>
              <a:schemeClr val="accent3"/>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4068-4DE7-B34B-6F140F1D5D33}"/>
            </c:ext>
          </c:extLst>
        </c:ser>
        <c:ser>
          <c:idx val="3"/>
          <c:order val="3"/>
          <c:tx>
            <c:strRef>
              <c:f>'Popular Products'!$E$3:$E$4</c:f>
              <c:strCache>
                <c:ptCount val="1"/>
                <c:pt idx="0">
                  <c:v>Unknown</c:v>
                </c:pt>
              </c:strCache>
            </c:strRef>
          </c:tx>
          <c:spPr>
            <a:solidFill>
              <a:srgbClr val="00B0F0"/>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4068-4DE7-B34B-6F140F1D5D33}"/>
            </c:ext>
          </c:extLst>
        </c:ser>
        <c:dLbls>
          <c:showLegendKey val="0"/>
          <c:showVal val="0"/>
          <c:showCatName val="0"/>
          <c:showSerName val="0"/>
          <c:showPercent val="0"/>
          <c:showBubbleSize val="0"/>
        </c:dLbls>
        <c:gapWidth val="50"/>
        <c:overlap val="100"/>
        <c:axId val="1363852207"/>
        <c:axId val="1363843087"/>
      </c:barChart>
      <c:catAx>
        <c:axId val="136385220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43087"/>
        <c:crosses val="autoZero"/>
        <c:auto val="1"/>
        <c:lblAlgn val="ctr"/>
        <c:lblOffset val="100"/>
        <c:noMultiLvlLbl val="0"/>
      </c:catAx>
      <c:valAx>
        <c:axId val="1363843087"/>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5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[Customer_sales_dashboard.xlsx]Popular Products!PivotTable6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gender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chemeClr val="lt1"/>
            </a:solidFill>
          </a:ln>
          <a:effectLst/>
        </c:spPr>
        <c:dLbl>
          <c:idx val="0"/>
          <c:layout>
            <c:manualLayout>
              <c:x val="0.10360030925465448"/>
              <c:y val="0.36631836423247194"/>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274151813388497"/>
                  <c:h val="0.17136363879474639"/>
                </c:manualLayout>
              </c15:layout>
            </c:ext>
          </c:extLst>
        </c:dLbl>
      </c:pivotFmt>
      <c:pivotFmt>
        <c:idx val="8"/>
        <c:spPr>
          <a:solidFill>
            <a:schemeClr val="accent6">
              <a:lumMod val="50000"/>
            </a:schemeClr>
          </a:solidFill>
          <a:ln w="19050">
            <a:solidFill>
              <a:schemeClr val="lt1"/>
            </a:solidFill>
          </a:ln>
          <a:effectLst/>
        </c:spPr>
        <c:dLbl>
          <c:idx val="0"/>
          <c:layout>
            <c:manualLayout>
              <c:x val="-3.0989458177487095E-2"/>
              <c:y val="0.32996790043340196"/>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023192357788135"/>
                  <c:h val="0.14554537172563914"/>
                </c:manualLayout>
              </c15:layout>
            </c:ext>
          </c:extLst>
        </c:dLbl>
      </c:pivotFmt>
      <c:pivotFmt>
        <c:idx val="9"/>
        <c:spPr>
          <a:solidFill>
            <a:srgbClr val="339933"/>
          </a:solidFill>
          <a:ln w="19050">
            <a:solidFill>
              <a:schemeClr val="lt1"/>
            </a:solidFill>
          </a:ln>
          <a:effectLst/>
        </c:spPr>
        <c:dLbl>
          <c:idx val="0"/>
          <c:layout>
            <c:manualLayout>
              <c:x val="-0.16272432510201906"/>
              <c:y val="-0.1646816518128544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949698644960367"/>
                  <c:h val="0.16252667535491369"/>
                </c:manualLayout>
              </c15:layout>
            </c:ext>
          </c:extLst>
        </c:dLbl>
      </c:pivotFmt>
      <c:pivotFmt>
        <c:idx val="10"/>
        <c:spPr>
          <a:solidFill>
            <a:srgbClr val="0070C0"/>
          </a:solidFill>
          <a:ln w="19050">
            <a:solidFill>
              <a:schemeClr val="lt1"/>
            </a:solidFill>
          </a:ln>
          <a:effectLst/>
        </c:spPr>
        <c:dLbl>
          <c:idx val="0"/>
          <c:layout>
            <c:manualLayout>
              <c:x val="0.39796860090129621"/>
              <c:y val="-0.13598904282497581"/>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238914892283258"/>
                  <c:h val="0.1940053769671124"/>
                </c:manualLayout>
              </c15:layout>
            </c:ext>
          </c:extLst>
        </c:dLbl>
      </c:pivotFmt>
    </c:pivotFmts>
    <c:plotArea>
      <c:layout/>
      <c:doughnutChart>
        <c:varyColors val="1"/>
        <c:ser>
          <c:idx val="0"/>
          <c:order val="0"/>
          <c:tx>
            <c:strRef>
              <c:f>'Popular Products'!$J$3</c:f>
              <c:strCache>
                <c:ptCount val="1"/>
                <c:pt idx="0">
                  <c:v>Total</c:v>
                </c:pt>
              </c:strCache>
            </c:strRef>
          </c:tx>
          <c:spPr>
            <a:solidFill>
              <a:schemeClr val="accent6">
                <a:lumMod val="5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7341-40C6-882B-A967C50256F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7341-40C6-882B-A967C50256FF}"/>
              </c:ext>
            </c:extLst>
          </c:dPt>
          <c:dPt>
            <c:idx val="2"/>
            <c:bubble3D val="0"/>
            <c:spPr>
              <a:solidFill>
                <a:srgbClr val="339933"/>
              </a:solidFill>
              <a:ln w="19050">
                <a:solidFill>
                  <a:schemeClr val="lt1"/>
                </a:solidFill>
              </a:ln>
              <a:effectLst/>
            </c:spPr>
            <c:extLst>
              <c:ext xmlns:c16="http://schemas.microsoft.com/office/drawing/2014/chart" uri="{C3380CC4-5D6E-409C-BE32-E72D297353CC}">
                <c16:uniqueId val="{00000005-7341-40C6-882B-A967C50256FF}"/>
              </c:ext>
            </c:extLst>
          </c:dPt>
          <c:dPt>
            <c:idx val="3"/>
            <c:bubble3D val="0"/>
            <c:spPr>
              <a:solidFill>
                <a:srgbClr val="0070C0"/>
              </a:solidFill>
              <a:ln w="19050">
                <a:solidFill>
                  <a:schemeClr val="lt1"/>
                </a:solidFill>
              </a:ln>
              <a:effectLst/>
            </c:spPr>
            <c:extLst>
              <c:ext xmlns:c16="http://schemas.microsoft.com/office/drawing/2014/chart" uri="{C3380CC4-5D6E-409C-BE32-E72D297353CC}">
                <c16:uniqueId val="{00000007-7341-40C6-882B-A967C50256FF}"/>
              </c:ext>
            </c:extLst>
          </c:dPt>
          <c:dLbls>
            <c:dLbl>
              <c:idx val="0"/>
              <c:layout>
                <c:manualLayout>
                  <c:x val="0.10360030925465448"/>
                  <c:y val="0.36631836423247194"/>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274151813388497"/>
                      <c:h val="0.17136363879474639"/>
                    </c:manualLayout>
                  </c15:layout>
                </c:ext>
                <c:ext xmlns:c16="http://schemas.microsoft.com/office/drawing/2014/chart" uri="{C3380CC4-5D6E-409C-BE32-E72D297353CC}">
                  <c16:uniqueId val="{00000001-7341-40C6-882B-A967C50256FF}"/>
                </c:ext>
              </c:extLst>
            </c:dLbl>
            <c:dLbl>
              <c:idx val="1"/>
              <c:layout>
                <c:manualLayout>
                  <c:x val="-3.0989458177487095E-2"/>
                  <c:y val="0.32996790043340196"/>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023192357788135"/>
                      <c:h val="0.14554537172563914"/>
                    </c:manualLayout>
                  </c15:layout>
                </c:ext>
                <c:ext xmlns:c16="http://schemas.microsoft.com/office/drawing/2014/chart" uri="{C3380CC4-5D6E-409C-BE32-E72D297353CC}">
                  <c16:uniqueId val="{00000003-7341-40C6-882B-A967C50256FF}"/>
                </c:ext>
              </c:extLst>
            </c:dLbl>
            <c:dLbl>
              <c:idx val="2"/>
              <c:layout>
                <c:manualLayout>
                  <c:x val="-0.16272432510201906"/>
                  <c:y val="-0.16468165181285449"/>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949698644960367"/>
                      <c:h val="0.16252667535491369"/>
                    </c:manualLayout>
                  </c15:layout>
                </c:ext>
                <c:ext xmlns:c16="http://schemas.microsoft.com/office/drawing/2014/chart" uri="{C3380CC4-5D6E-409C-BE32-E72D297353CC}">
                  <c16:uniqueId val="{00000005-7341-40C6-882B-A967C50256FF}"/>
                </c:ext>
              </c:extLst>
            </c:dLbl>
            <c:dLbl>
              <c:idx val="3"/>
              <c:layout>
                <c:manualLayout>
                  <c:x val="0.39796860090129621"/>
                  <c:y val="-0.13598904282497581"/>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238914892283258"/>
                      <c:h val="0.1940053769671124"/>
                    </c:manualLayout>
                  </c15:layout>
                </c:ext>
                <c:ext xmlns:c16="http://schemas.microsoft.com/office/drawing/2014/chart" uri="{C3380CC4-5D6E-409C-BE32-E72D297353CC}">
                  <c16:uniqueId val="{00000007-7341-40C6-882B-A967C50256FF}"/>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'Popular Products'!$I$4:$I$8</c:f>
              <c:strCache>
                <c:ptCount val="4"/>
                <c:pt idx="0">
                  <c:v>Female</c:v>
                </c:pt>
                <c:pt idx="1">
                  <c:v>Male</c:v>
                </c:pt>
                <c:pt idx="2">
                  <c:v>Other</c:v>
                </c:pt>
                <c:pt idx="3">
                  <c:v>Unknown</c:v>
                </c:pt>
              </c:strCache>
            </c:strRef>
          </c:cat>
          <c:val>
            <c:numRef>
              <c:f>'Popular Products'!$J$4:$J$8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341-40C6-882B-A967C50256FF}"/>
            </c:ext>
          </c:extLst>
        </c:ser>
        <c:dLbls>
          <c:showLegendKey val="0"/>
          <c:showVal val="0"/>
          <c:showCatName val="0"/>
          <c:showSerName val="0"/>
          <c:showPercent val="0"/>
          <c:showBubbleSize val="0"/>
          <c:showLeaderLines val="0"/>
        </c:dLbls>
        <c:firstSliceAng val="0"/>
        <c:holeSize val="4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[Customer_sales_dashboard.xlsx]Sheet5!PivotTable11</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How long we take to ship the orders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0330641657978"/>
          <c:y val="0.19486099768576495"/>
          <c:w val="0.81439563380729818"/>
          <c:h val="0.72125801983085447"/>
        </c:manualLayout>
      </c:layout>
      <c:barChart>
        <c:barDir val="col"/>
        <c:grouping val="clustered"/>
        <c:varyColors val="0"/>
        <c:ser>
          <c:idx val="0"/>
          <c:order val="0"/>
          <c:tx>
            <c:strRef>
              <c:f>Sheet5!$B$3</c:f>
              <c:strCache>
                <c:ptCount val="1"/>
                <c:pt idx="0">
                  <c:v>Total</c:v>
                </c:pt>
              </c:strCache>
            </c:strRef>
          </c:tx>
          <c:spPr>
            <a:solidFill>
              <a:schemeClr val="accent6">
                <a:lumMod val="50000"/>
              </a:schemeClr>
            </a:solidFill>
            <a:ln>
              <a:noFill/>
            </a:ln>
            <a:effectLst/>
          </c:spPr>
          <c:invertIfNegative val="0"/>
          <c:cat>
            <c:strRef>
              <c:f>Sheet5!$A$4:$A$19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Sheet5!$B$4:$B$19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4895-48BF-9491-29F52E753CAA}"/>
            </c:ext>
          </c:extLst>
        </c:ser>
        <c:dLbls>
          <c:showLegendKey val="0"/>
          <c:showVal val="0"/>
          <c:showCatName val="0"/>
          <c:showSerName val="0"/>
          <c:showPercent val="0"/>
          <c:showBubbleSize val="0"/>
        </c:dLbls>
        <c:gapWidth val="8"/>
        <c:overlap val="-27"/>
        <c:axId val="1454895871"/>
        <c:axId val="1454911231"/>
      </c:barChart>
      <c:catAx>
        <c:axId val="145489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911231"/>
        <c:crosses val="autoZero"/>
        <c:auto val="1"/>
        <c:lblAlgn val="ctr"/>
        <c:lblOffset val="100"/>
        <c:noMultiLvlLbl val="0"/>
      </c:catAx>
      <c:valAx>
        <c:axId val="1454911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895871"/>
        <c:crosses val="autoZero"/>
        <c:crossBetween val="between"/>
      </c:valAx>
      <c:spPr>
        <a:noFill/>
        <a:ln>
          <a:noFill/>
        </a:ln>
        <a:effectLst>
          <a:outerShdw blurRad="63500" sx="102000" sy="102000" algn="ctr"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[Customer_sales_dashboard.xlsx]Sheet5!PivotTable12</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How happy are our customers?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14260717410319E-2"/>
          <c:y val="7.407407407407407E-2"/>
          <c:w val="0.93753018372703412"/>
          <c:h val="0.84204505686789155"/>
        </c:manualLayout>
      </c:layout>
      <c:barChart>
        <c:barDir val="col"/>
        <c:grouping val="clustered"/>
        <c:varyColors val="0"/>
        <c:ser>
          <c:idx val="0"/>
          <c:order val="0"/>
          <c:tx>
            <c:strRef>
              <c:f>Sheet5!$E$3:$E$4</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Sheet5!$D$5:$D$8</c:f>
              <c:strCache>
                <c:ptCount val="3"/>
                <c:pt idx="0">
                  <c:v>Jan</c:v>
                </c:pt>
                <c:pt idx="1">
                  <c:v>Feb</c:v>
                </c:pt>
                <c:pt idx="2">
                  <c:v>Mar</c:v>
                </c:pt>
              </c:strCache>
            </c:strRef>
          </c:cat>
          <c:val>
            <c:numRef>
              <c:f>Sheet5!$E$5:$E$8</c:f>
              <c:numCache>
                <c:formatCode>General</c:formatCode>
                <c:ptCount val="3"/>
                <c:pt idx="0">
                  <c:v>7</c:v>
                </c:pt>
                <c:pt idx="1">
                  <c:v>8</c:v>
                </c:pt>
                <c:pt idx="2">
                  <c:v>6</c:v>
                </c:pt>
              </c:numCache>
            </c:numRef>
          </c:val>
          <c:extLst>
            <c:ext xmlns:c16="http://schemas.microsoft.com/office/drawing/2014/chart" uri="{C3380CC4-5D6E-409C-BE32-E72D297353CC}">
              <c16:uniqueId val="{00000000-EC6A-4881-804F-076D351F2F3E}"/>
            </c:ext>
          </c:extLst>
        </c:ser>
        <c:ser>
          <c:idx val="1"/>
          <c:order val="1"/>
          <c:tx>
            <c:strRef>
              <c:f>Sheet5!$F$3:$F$4</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Sheet5!$D$5:$D$8</c:f>
              <c:strCache>
                <c:ptCount val="3"/>
                <c:pt idx="0">
                  <c:v>Jan</c:v>
                </c:pt>
                <c:pt idx="1">
                  <c:v>Feb</c:v>
                </c:pt>
                <c:pt idx="2">
                  <c:v>Mar</c:v>
                </c:pt>
              </c:strCache>
            </c:strRef>
          </c:cat>
          <c:val>
            <c:numRef>
              <c:f>Sheet5!$F$5:$F$8</c:f>
              <c:numCache>
                <c:formatCode>General</c:formatCode>
                <c:ptCount val="3"/>
                <c:pt idx="0">
                  <c:v>37</c:v>
                </c:pt>
                <c:pt idx="1">
                  <c:v>51</c:v>
                </c:pt>
                <c:pt idx="2">
                  <c:v>39</c:v>
                </c:pt>
              </c:numCache>
            </c:numRef>
          </c:val>
          <c:extLst>
            <c:ext xmlns:c16="http://schemas.microsoft.com/office/drawing/2014/chart" uri="{C3380CC4-5D6E-409C-BE32-E72D297353CC}">
              <c16:uniqueId val="{00000001-EC6A-4881-804F-076D351F2F3E}"/>
            </c:ext>
          </c:extLst>
        </c:ser>
        <c:ser>
          <c:idx val="2"/>
          <c:order val="2"/>
          <c:tx>
            <c:strRef>
              <c:f>Sheet5!$G$3:$G$4</c:f>
              <c:strCache>
                <c:ptCount val="1"/>
                <c:pt idx="0">
                  <c:v>3</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Sheet5!$D$5:$D$8</c:f>
              <c:strCache>
                <c:ptCount val="3"/>
                <c:pt idx="0">
                  <c:v>Jan</c:v>
                </c:pt>
                <c:pt idx="1">
                  <c:v>Feb</c:v>
                </c:pt>
                <c:pt idx="2">
                  <c:v>Mar</c:v>
                </c:pt>
              </c:strCache>
            </c:strRef>
          </c:cat>
          <c:val>
            <c:numRef>
              <c:f>Sheet5!$G$5:$G$8</c:f>
              <c:numCache>
                <c:formatCode>General</c:formatCode>
                <c:ptCount val="3"/>
                <c:pt idx="0">
                  <c:v>150</c:v>
                </c:pt>
                <c:pt idx="1">
                  <c:v>182</c:v>
                </c:pt>
                <c:pt idx="2">
                  <c:v>163</c:v>
                </c:pt>
              </c:numCache>
            </c:numRef>
          </c:val>
          <c:extLst>
            <c:ext xmlns:c16="http://schemas.microsoft.com/office/drawing/2014/chart" uri="{C3380CC4-5D6E-409C-BE32-E72D297353CC}">
              <c16:uniqueId val="{00000002-EC6A-4881-804F-076D351F2F3E}"/>
            </c:ext>
          </c:extLst>
        </c:ser>
        <c:ser>
          <c:idx val="3"/>
          <c:order val="3"/>
          <c:tx>
            <c:strRef>
              <c:f>Sheet5!$H$3:$H$4</c:f>
              <c:strCache>
                <c:ptCount val="1"/>
                <c:pt idx="0">
                  <c:v>4</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Sheet5!$D$5:$D$8</c:f>
              <c:strCache>
                <c:ptCount val="3"/>
                <c:pt idx="0">
                  <c:v>Jan</c:v>
                </c:pt>
                <c:pt idx="1">
                  <c:v>Feb</c:v>
                </c:pt>
                <c:pt idx="2">
                  <c:v>Mar</c:v>
                </c:pt>
              </c:strCache>
            </c:strRef>
          </c:cat>
          <c:val>
            <c:numRef>
              <c:f>Sheet5!$H$5:$H$8</c:f>
              <c:numCache>
                <c:formatCode>General</c:formatCode>
                <c:ptCount val="3"/>
                <c:pt idx="0">
                  <c:v>312</c:v>
                </c:pt>
                <c:pt idx="1">
                  <c:v>373</c:v>
                </c:pt>
                <c:pt idx="2">
                  <c:v>351</c:v>
                </c:pt>
              </c:numCache>
            </c:numRef>
          </c:val>
          <c:extLst>
            <c:ext xmlns:c16="http://schemas.microsoft.com/office/drawing/2014/chart" uri="{C3380CC4-5D6E-409C-BE32-E72D297353CC}">
              <c16:uniqueId val="{00000008-EC6A-4881-804F-076D351F2F3E}"/>
            </c:ext>
          </c:extLst>
        </c:ser>
        <c:ser>
          <c:idx val="4"/>
          <c:order val="4"/>
          <c:tx>
            <c:strRef>
              <c:f>Sheet5!$I$3:$I$4</c:f>
              <c:strCache>
                <c:ptCount val="1"/>
                <c:pt idx="0">
                  <c:v>5</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Sheet5!$D$5:$D$8</c:f>
              <c:strCache>
                <c:ptCount val="3"/>
                <c:pt idx="0">
                  <c:v>Jan</c:v>
                </c:pt>
                <c:pt idx="1">
                  <c:v>Feb</c:v>
                </c:pt>
                <c:pt idx="2">
                  <c:v>Mar</c:v>
                </c:pt>
              </c:strCache>
            </c:strRef>
          </c:cat>
          <c:val>
            <c:numRef>
              <c:f>Sheet5!$I$5:$I$8</c:f>
              <c:numCache>
                <c:formatCode>General</c:formatCode>
                <c:ptCount val="3"/>
                <c:pt idx="0">
                  <c:v>224</c:v>
                </c:pt>
                <c:pt idx="1">
                  <c:v>247</c:v>
                </c:pt>
                <c:pt idx="2">
                  <c:v>250</c:v>
                </c:pt>
              </c:numCache>
            </c:numRef>
          </c:val>
          <c:extLst>
            <c:ext xmlns:c16="http://schemas.microsoft.com/office/drawing/2014/chart" uri="{C3380CC4-5D6E-409C-BE32-E72D297353CC}">
              <c16:uniqueId val="{0000000B-EC6A-4881-804F-076D351F2F3E}"/>
            </c:ext>
          </c:extLst>
        </c:ser>
        <c:dLbls>
          <c:dLblPos val="outEnd"/>
          <c:showLegendKey val="0"/>
          <c:showVal val="1"/>
          <c:showCatName val="0"/>
          <c:showSerName val="0"/>
          <c:showPercent val="0"/>
          <c:showBubbleSize val="0"/>
        </c:dLbls>
        <c:gapWidth val="219"/>
        <c:overlap val="-27"/>
        <c:axId val="1729294815"/>
        <c:axId val="1729302495"/>
      </c:barChart>
      <c:catAx>
        <c:axId val="172929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02495"/>
        <c:crosses val="autoZero"/>
        <c:auto val="1"/>
        <c:lblAlgn val="ctr"/>
        <c:lblOffset val="100"/>
        <c:noMultiLvlLbl val="0"/>
      </c:catAx>
      <c:valAx>
        <c:axId val="1729302495"/>
        <c:scaling>
          <c:orientation val="minMax"/>
        </c:scaling>
        <c:delete val="1"/>
        <c:axPos val="l"/>
        <c:numFmt formatCode="General" sourceLinked="1"/>
        <c:majorTickMark val="none"/>
        <c:minorTickMark val="none"/>
        <c:tickLblPos val="nextTo"/>
        <c:crossAx val="1729294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Aptos Narrow" panose="02110004020202020204"/>
              </a:rPr>
              <a:t>Where</a:t>
            </a:r>
            <a:r>
              <a:rPr lang="en-US" sz="1600" b="1" i="0" u="none" strike="noStrike" baseline="0">
                <a:solidFill>
                  <a:sysClr val="windowText" lastClr="000000">
                    <a:lumMod val="65000"/>
                    <a:lumOff val="35000"/>
                  </a:sysClr>
                </a:solidFill>
                <a:latin typeface="Aptos Narrow" panose="02110004020202020204"/>
              </a:rPr>
              <a:t> do our customers live?</a:t>
            </a:r>
          </a:p>
        </cx:rich>
      </cx:tx>
    </cx:title>
    <cx:plotArea>
      <cx:plotAreaRegion>
        <cx:series layoutId="regionMap" uniqueId="{0962855F-D850-4756-9046-6AC22CB1830C}">
          <cx:tx>
            <cx:txData>
              <cx:f>_xlchart.v5.8</cx:f>
              <cx:v>Sum of Quantity</cx:v>
            </cx:txData>
          </cx:tx>
          <cx:spPr>
            <a:solidFill>
              <a:schemeClr val="accent5">
                <a:lumMod val="60000"/>
                <a:lumOff val="40000"/>
              </a:schemeClr>
            </a:solidFill>
            <a:ln>
              <a:solidFill>
                <a:schemeClr val="tx2"/>
              </a:solidFill>
            </a:ln>
          </cx:spPr>
          <cx:dataId val="0"/>
          <cx:layoutPr>
            <cx:geography cultureLanguage="en-US" cultureRegion="IN" attribution="Powered by Bing">
              <cx:geoCache provider="{E9337A44-BEBE-4D9F-B70C-5C5E7DAFC167}">
                <cx:binary>7H1pc9u40u5fSeXzpQYLSQCnzpyqASnJ8u44y2S+sBRb4QouAPdff1u2k7EW58i3xnXr1b2amZpK
qIaafIhG99ONxr/v+n/dZaulfterLDf/uut/fx/Vdfmv334zd9FKLc1ExXe6MMX3enJXqN+K79/j
u9Vv93rZxXn4G0HY/u0uWup61b//z79htHBVnBd3yzou8ptmpYcPK9NktfnFtb2X3i3vVZz7sal1
fFfj3997yyz+Xug8Xr7fvEZ+f/+HWt4X+p1XNHk9vH+3yuu4Hj4O5er39xvDkPfvftv+tR3N3mWg
fN3cgzDlE2ozFxFuv3+XFXn49PcWJmjCGCGCIoHWH/zjVy+XCgQPV+hBneX9vV4ZA/f18P8d+Y2b
gEfxx399BHfrR7F++CHg8Pv7T3lcr+7f3dbLemXev4tN8fCs9OAV6/v8dPvwYH7bhO8//976C3hU
W3/zDOHt5/rfLm2C+F8Avl3m9fKdXOpvS718A5ztiU0Qd5nA4vGzBTcWE1dwamPq/rj++JI9wv1q
9fajvn+YA8DfL3hk78BFcV/c/fPY23hiCyQcgZ+gdbewh6nu2MSxBaabk/xghfajvSl+AMqbAkeG
7vkyXf3z4FIxQTbFDIGhfvjACrBpx8lEYAe7nAHsz6f0ofrsx3ZD+gBoN75/ZMj+kcGSeP8WVptN
OLI54S59NMpsF1zCCCzggPpzbF+h0X54twc4AOFtkSMDGTyLPDbZsjFvMInZxLURo4770iTGE4SI
TSnjm0C/Tqv9WO8Z4wC490gdG+LLOw0TO6+LN0CcTxzmCmpz9MLMXi/a63+o/WDWt9zv21fp9gLu
u2Mcgvuu1JHh/kdWxvlbLNUcXGyY4xg8rYcPzOWNpRp8cAYfx2EQjG2a80M12o/01h0dgPKWxJEh
7BUQOq7XawMxl/cGMTXCXAiw1vtxJmSCYeY7DG9Z89fqtR/tvaMcgPleuSND/rww7/7Iw1W2eotl
3J4ghxDKbWc/8JhP1ou4zcBfX3+2jPorlduP/r5BDgB/n9iRYS+bun4Lsy4mDiawTL9k1gmeOI7t
Yky28D5Yof1Ib4ofgPGmwJGhCwzRu5le5nexuSt+LJ//BEPKJowjxDgHk/7w2Vq1wZoDtYYdTsWP
n/3Jmf2t0SHLzH6YN27s5zAHwL1f8MhgB9J82a708i3MOZ9g4RJM2KO1RjvUCpq44L/D3N+iVl6l
1H7Ud4c4APFdoWNDu8ga8xYum5iQNZDgmz8szLtQEwjAOXDjtrM5yb2DNXoB5035Q0DelDgyhP1V
9u6ygGTbT0v3GAj9A5YceHDm2JDUWjvn688Om2bDW2BTYNO26LRXKbUf590hDoB6V+jI0J5nqzz/
55EGUtwhyMGC7KQ6IPQSHAPVtgXxwZrsh3dT/ABoNwWODNZp9s4vNGSs3wBaPmFEuA55YsQFOF0b
JMo6by0EhvDa3RdjvUq1/VjvDnEA3rtCR4b5GRRLvIUT5k4oOGDE/hFTb+O9TlzDNQiuwJw/J80O
Vmg/ypviByC8KXBk6M6geiN/i+nsThjFruPgl+sSGHfgH7zleB2u0X58t+QPAHhL4sgQvly1yzfJ
YYJr7RLGKXpyraHGYNNgQ24Lg19ti60o6nCN9iO8JX8AwlsSR4bwxSqH+pL4TaaxmOB1UoMx/Bg/
AdO1CTIF15q5lK6d7udW+lVK7cd5d4gDoN4VOja0l/dAi7yBA+ZOgBQB/5k9zecdqNEEuZDesPEW
H3ZxsEYv4LwpfwjImxJHhvBJo74V2X39z2Nsgw/NXWzbu/GTPcEupghqUh5C6C2IX6PSfpB3RjgA
5h2ZIwP6NjZpPBTNGwANlAgF6pr8KDDa9q6B3HYhZe3AjN6026/RaT/SOyMcgPSOzLEhDUmM02JZ
NfFbsCJsIhxgwAikKx4+ezwxIiDSEuLRtG+lq9b5hFco9wLqewY5BPg9YkeG/UKVKx0vs39+llMC
lAjhDtSJ7gceOxOY4xCEwU6A9WcL+Ndoth/1nREOgHxH5sjwhum0rj7J3qben03WdQZQFPy0Tm/X
GkFSGjKaGMKurbj6lWrtx3vfIAdAvk/syFBf5MPb0CgcEeC82VNp2fY6DpUnQLC4LmC+uY4fqs9+
nDekDwB44/tHhuzZSr/Fou1MKHsoLnk0zWvbvBFZA/+5rjbDwJJuInuoPvuR3ZA+ANmN7/8PQPbX
Km7c8Hrn1h8/nu2ePORrt9yxCey1cV3YifW4Gu9B1MWMMAwR9MPnx28/lpVAkv/nNsEXc6OPOxV3
dt09l924x8db/PVD+Z+3p67IC/UWFAif2FS4AjB6RHDHkQaHCzuuDSTIJna3B2u0f1Zuye+BcOOv
YOPolsSRIXy+NGb1BlYXCBAbyrS5eIqU0A7CUPoDl23YUbmJ8OEa7Ud4S34Dzv37Yrckjgzhi6V+
q1iY2RANo6c88o5/TCYOxesNs1sO08EK7cd3U/wAeDcFjg1dKMRf6dXwBjGvO3GZyxhFL9loPHHB
RLt0e+/cxSt0egHj7REOgXlb5tiQhnlcFm9Su8cmsM5COoI/Ges9/pRwbcZhtd7nT60n2KGavYD3
9giH4L0tc2x4r/Qd9GPw/vHNNUBsIFe43H2J2IClm2MBWyz2bpy7OFivF7DelD8E6U2JI8P5dr2p
4i0ak0BGmRIC1ddPQdDOAg32mziQo9ouGzhco/0Ib8kfgPCWxJEhDOvhWzBWsBUKNjr+nMY7xbjA
axACey7AaG962Ifqsx/dDekDsN34/pEh+0S36mZ8AzsNZQLMxjb60XRkZ/5CRT3gi9DO/H3kxQ/U
aj/Ke+7sAKz3SB0Z4pfL8m34EAJkiA22+kU+BOoFYIcc36q6PlSf/ShvSB+A78b3jwzZj6to+RZc
FzAhkBV0YV/rCwWaUCEAG6Aw7G98dL/B+35e33W4Xvsx3pI/AOUtiSPD+Qq2OIZvsDmGUsgRQ9U8
d19qTgC9aBxoBuduZ4cP12g/wlvyByC8JXFkCMMq9E6uoJ3dW3hdLoAIXjPU7z2Gwtt5QkgL24gg
qP3aKsZ9nVb7kd4zxgFo75E6MsSvs+Xdm8RQfAL+83pWP2WadlhsKL1m66oQ8vNteG67D9drP95b
8gdgvSVxdDg30G70DXxtMRHUZbAn6mmNhpzERo4Y9kRBqgI6ANKtYo/r7FCNXkJ4Q/4ghDckjgzh
DzHsRTfx/dss0IIjh9KnOoDdQgBgxmCnOuyD2gqYX6XUfpx3hzgA6l2hI0N7vTKdN7F5d/UtNuVb
LNfOhEBtLuyOgTh5/dmmtmFig2+OoLXIFub/B6rtR/6lgQ7A/yXRI3wLJNT+LPX92+ytgZJ7aD2A
OX1qDri9imMoKIHgGlb6zdBr/fxfp9jLr8CecQ58A/ZIHtsLUGTLN6NIwXlbJzH3z36g0GzBHbTj
rB+s0QuIb8ofgvSmxLEhDDPJj1fhW5j4h1Ih5kB99pbTBtMau5TDvH+K1XZn98E6vQDzzm0dgvSO
0BGCfQFd5N8C7IdUNYOy7CdIdxx1INMIVGULe4tGW9vyg5V6Ge3NIQ5Ee1Po2NCOV/pNtklCCxIX
Udgn95iG3ldBBhehJT/Y7/VnG/CD9XoB7U35Q6DelDg2nKPlmzT7BH4c2rWCnaYvNQkjEzDiiIMf
v2XAD9boBYQ35Q9BeFPiyBD+CIWCcCjKP0+vrHfDQnU9FAs+nZ+wx2qvk1twdMbWJH6FSvsx3h7g
AJC3Rf5voPzyGSo/z6Lxl/Vy+nCKzbNjVH599eERweE7W6JP6aY9hfk/k42L+9/fQ2qSOhApP6vW
Xw+0kaz6seXsx0TdlFuBBfn9vYUxnKUCpScIjlWAXfDUhhrvbvV0yYVYDYr3wbJDrzgo4H//Lodm
ZhEctEOhZhxsBJQmgSCD6vH370zRPFyCPbYYOpzA3h3KoVINisZ/3Op1kQ1hkf98Lk9/fpc36rqI
89rAfa05vfLxe2t9nXUfeRva0MLtwrZeqJIC/cq75Yd1fx74+v9iUaXz3qqGi56WJZ7hFHF2UTJa
Bt/ROOYO8nSN6qKUNEZsPCncNO1yGfRJN3VdO/0QkKjzeR50Jxq3bJBQQXkXImO8QgRLjdPbNEjV
9ZCmkaxGl8yog0MJ1VjmonDd71HJEz9VREmcm3gWNQ2dMhPrae12TLYKO+djY9TCyrO6kjhN88Hr
XRN5SRLqyxJhKttYnCdunZ4JFw5QMmU3zLQjSllXqZKZQqWnBNbSzbC4tNvhNHXic17UwZmKs3SW
WiKVoaCES7DJmVSpM8x6wSKf1j3xKtqnHk5Z6Vd9Fs8q3uQ+sq2vmYuvSrfPT1nUfMRuhPxA2YWf
x27phWKwLnXi3nV5pmRVMDwvnOT7mCR/sS42StotVosuYMF5aSfDJ63qwK90dBEaWiyaKFnV4Ui+
Eh2hmzGri1nrZpXPTEZiORRRBerm4qy1Ajx1O2Sd2mWPzh3Afx5HxJGhbtxzzdgNz8LkVuFs0UXD
R6t0clnYuT1HvLhhrkqkCHTuwYkSrh8VfbEYU4aljTos+yG1znHUKMkGHTlf2zJclAGi6VkdDLie
h8oaokyOWrv6KgLsWpKm8cWA48qRVoiDsPISGEl4XFj1VclFZUlCmOUsynogHy3SZPGCtOl4qttc
XMXtUFayGHkRSgEPIbgSQRF6UZyK7y0W6TkphI9DNd7arca9//zwpo05cVeUg47D6On4rZ9//M/H
QsG/D6c5/f2X69O7/v7TfFWsd9SY7S+trdfPb/19ItTaWvw8HmrLBj0eAfZj1r7m4qusF4Kp/vN4
rx3r9bx/964FW8v+sGDrjsTro56owBiq7DiYqR8WbN3NFrY+wHSF3YKPZuqHBYMthAhK8gTYFgbN
fNZHUfywYNAjFywYBLHuehVk0Pnjx7PYQAuM9x4LRtbdNjcsmMMEe6jh5FDpCRYR9HtuwYRio8hb
p73K2phEgaerAp1mPbZP87FIEi9x1achCYlkvXXOc0L9xFGt7BJ48XMLSVwnH/uwPkt5f9ui/nwI
cCLLyBWy6fgox3g8FXH9uVPDJVN04cSupFlQyIqbq7LvT92ycb1eVYt4zDqpjJFdEAoZMNHPNaXf
KQ9rrzNVLlGcDl4ZUzLVqVXJkduzJkm4Z2eokcJEXwc3iKTJ7GEq6kH5SJcfbbdppN1YxHPS0KPl
iLyhq6UdVq2n8+BLJrBfE3fwtDG+E3ff3CaVSVApHzZw31UJi73Wjf90q95IqIFf0J57TRUzaRXk
Tze055yVoxd0dBZxbUlq1AlxW8dvC35ieqX8ASadjNv+21AE31TdX6G1DXLS+muMROwpO52nab/g
UZjPcN9pX7dWIXlY3ofIdvwe53+WYP8kjVrqB029cgMyXpp0WMalE5w1Tsw87YAViUJ3auUcfyCG
ad8ugsiLoUOnLEwv5l2XnmGnar9y0WoqG1hHZ0XSeqPN4qkdsGKWDRR5mdOPUx5FCIzkWMiG5OZi
QLyHNabVM17EpR9k1uDV8DZLbdJoasWFng4oDqY5MvFZjIpszkVX3xKnHT93Yxv5BcoCmZoMXQyu
YrOxS9OvhW7JacyY+2drlPpgNK6uI5fEC451f16JgPrtkBWnxK10Iy3bTs6DLi+DqVX0540eMyJH
hYJvPY8t7neOVS1ygm7SQuBpFHXlJzTAg58HsCj9ZSUi/G7zrJkqQYjs6qGZppx7gyKVNEnZyHas
4b3R8Rk25KIeRnjq3bTqwnOTV19hMRaeVTWXOsq7kyCo+xlDbS8bWogZc6JW2n15adeknlUKeQnT
9bTC4iwI3FCmWUxkTkfqu63I/dFOsV9gHvtMDWhWNDQqpyS+ZTQv5zh204tCcH6WNmH7WSjOFy70
p5WRhYK5xfPRM5b+3pPAOlFl4vd8iE//vzF/dEV/aczX52XtGvGHJnhPbihYatgXjME6wnkDDNHn
RpxOkLAJdig0AACf7ZkbCrQEh0ot2LoIFxG4sX8bcTieBJLICCrngXdE3HmVEacUloMtIw77a+AQ
DI7WVYFg0LeMOCXQR6jKnau0zcIzK1RVcNv3aV6dwKRK551tUzkwO/Qq7vhhnGULWzud5zSWc5IG
qliogaiLrkPgziUZR7O+GRJps7XhUficO3kCFj/WMg3zU0skzgUbg0r2GZq5KgSvqU5nYuQrJ2mN
bIcu9IPAHpXnRuFZ3ndnSZ7NLN5GMiZJ86FuDfgvvftX1oscpmAkph1O5hkqTkZazjsSfqhw3vjI
hbloCNipXOmTesSXwogVC5qbmPKrseILwtltzK25VZg/rZCXZ3lQnFWRWOjIjhdYdH9mdehxK7pV
xPkUxryX4MVH0k5peYtN+BXKcxaUl9MEBV+pgBOpIorl0FZgseq2m5soBp3BilJKYcHQJZOsEGcV
WGOZanIGZu2yykgiWRJeVMpe6qi+qsf8ew0PWoq68Mai6+QQlKeKpcxTRX3iCO6jYZTQZpNJMebh
NCXJJ1ZS7FM2nI6B9SfX0c3Q2YEX1cmiCfNSVsyMUzFEsuB5L0scuF7SFSekq76mQzhPC6vwHKrH
WThkoxeW0Z0Bk+0NJXb8HA9z14pPM3DU54qTy7y0id/VWeTHWn8ug8ieUv29cQd04qaumIIHCl69
4/qc4e9Wb2IP6tiuqqyBRTeOc69l1UeuuXVuiewkdfRNFpoTWFjAFLaFl9Ql85wwT2WPwuGvIR9P
eWjfM8fQadImwsPF+NXW5akT2n/1aLypuPURPNOvXRloCQHed6bsYVZ0qZiWJrlUbDhJYRGT2sbG
S5pu1XNRSAs74OSW4Swhzd0Q6U5Sh85Ym94NUF5ZyESXekZi13xrBSLnveOA062aPpzX0P8yg0Vj
sOdw/+6JGnAPMZkTN8JrlR6YrDmztFRgDXxEWC6mVQDC6fqJj3mcyjio/RQC7pmwUDzIILVCLy+j
6GRo0dUIk+Fm4AmbpxbvbkrbOLLvyCmlCfVscG1oBTJjXFpXSRhS8KtQMaXwtkntVDSVKR7Q1KZx
v1Dg80unKuJTzvtxzlqnmxZxXMsh6kKJ2nbW1eqOo/CqasNCgpG6oA04StCz92YwLPRNllxWbhlL
gr903BluNbbSrzlOqCSVMtcUwgEc6HLKYdWT2qXpNOehbO26ln1eUkkxzFkgVuG9IcLyWY5Gibum
vVS2Pe3DQkhmDRcpaaepyIlsIA6TTeYiSWLzTTfWHNOSyJbqRe42VNoOP7UgB3OKw4z7RZlgSXiu
/yKssqWT824KK58r7biqZR6xzI+VLmdWmSlvrEd0V2HyZ6JUMBMGvtvpjs/zsQerlGbOvFB1IY2V
oHmbVoXEZI1v4Co52sFZJaJ51nWXMcworxub00Tom6iDu0aWM8NhcYYHOo9VUE8LkRmZjPoCXHru
9RGD4J03gNCYeaVJZ3USDTOVq5vIiW1fJ0x4BXfOeNiEsivRPHbSr6jV88Yyt2PatjLLNLhnnZ7m
OL0wjQ5nQ6PAO2N6HpTliduY7yENIt+BCMAvrQwmbJpJcsF79VGZJDsXUXudwxOFCDQWU1U4WoYV
OnGS+svg5rPOLs+agK/6gmCZFeq0Trt+GuJ+zlz79v9FD+H5Yg+RFNBDv4j0dlpAPDA/D1I/Yjxg
qfD6JCJY42GjzXo1/zvGAwJr3Y0VzhyEAOs5S2VDRhnYKzjVYt17AhrlP4vx1huiYUA4DIUD2Q0d
R14T4615t03vQEDBOJxK6kJym0JLMvBDnod49UiLsmqa/jLvqJi2XRCVsqAJS72Ude2NaznDadK3
eTpFCAKTurDbT6ltenCPRV59efb0rh+5sQ3ODBjcbW0g4IU+0xD3wnmbax73uTZ2PpSpiMCGkCrH
l2E65oFsWOFGXt/WYFHazm6+sra0YqkVryuvSnQaymA0zAZKhOX3oq7RFYwRNT7JMvxpdCyO54Pr
BCs8WLif/VpjsibxnpN8DoTFENxBhwLo6QbtGNGWxjGLANuhvqS9E4a+24/ZpxaKBeisZkPhgMPT
48SPWcDlyNwBeKYUgcVs9YAhnCvq+6g3BnsxsEi+gaPOW1mrCLWSaQhKp2GRRNdpI06VEZHxIfUh
PpuoOkuzzumnsbHci1hHrZr/+q52YYBqVAS9yuAIBvBBH276OXM5WGEHltVc5nUgPhcheLLgFhF4
Ncq86a+7XovbMsDZn7/+2fW79vxZgscL9AWjcAAItAMgdK3Ws591UB/apQnzy5yDP4fTqLnMjfZi
HkSff/1L2z7x+pdgZYeiW2ivueY4Nn+pzO1hhPWouOQlspdVV+hsHtR8IDItoymqGnCUKBo4eCzU
6dR/e2nWL8XmjcKLAm2ibDixBrp4bv88FJrEENOr+JJVqbNUSeMs02ytgzMqM3V1UcgBAfTzLqs6
Iqu0YKs6E2bRicE+712qkUe7pEghpMzVJ6pLoF4iPgyr0mpLH1mjAjdLFLY+cag7NvLXT28d7Wzr
z9ZmA7h1OPQW+PLNx4fcxskdJ7AucBOoZaxrE0rwHurclnQY8vC0A4bxW8hFed6PVTRzC7uPPQIs
9veajWPhDVHIPBtYhlWsKbtvnTJij/Hq48Hx17u2BPyDbS2pTeElWieLIJPvMKjXev46uZrHCHxu
epHYVRmAZ12LaJz3dU/FrG6bxtN9hW5aNTgQR0cRcCU4nxuiy3lml8RLs0p9KDNH9ZJlXfilSyAW
Ggy4P6VTlZ9ck3I/qPLAa4AKi2Vc06STQWLyy660zFVljXQahlgk0hqDXHmkjdSJ49bZB5KE1+GQ
015mDasu66D6WBNlrYkAAg8yBifV13YzggPS8eQ8ixz+NUCNfRq5HJ+PYd8Kr0ORreBQnCFeWFwP
SnYDH30MdIc/Jv1daar6tkEWi2SnajYLTNUs7ICQj1WEu3QeMAvHcozS4BuEruCdx3ll/dUopvyy
NGSRFnm5wJXI7uO2dGHeU5XexiLoIXVQ2eGpDnTjDfAc5tgm4P93qp/ana5mGPe4nWZw5mLotV3I
K68F5nCqDNV+U4qrKLBC5GMMwQ4sNaTzcpS4ktcs+7NXKDojWpS3Dq2deSMSi8yMq8Yld4FJMqhP
xlmb8nBm9T1aEpN1301Ylo43khpovjwkbTjr66SAydF10yFsGz7TwHb5WU3VSQ5flWDOdQEPWrVM
JiZJLI8FkA9hBdBb0q6zwKO1lau5dtNpaDcDuukotv3YaJTJBN6kekbrTph5T1l/7qbjmAU3TVfV
SskhzoZc30dBRMj41XRWz1QkhQZTXtyRQSU11XA2XNOU6LJOa5X2QH9W47wVTR0slI7jUiYkK24R
s+giGShtgFAUQJENFRI9wAW8j58DexR5dZZ21dRNuxDSSFmNg6uoQi4rTtKBdZE/9Jmoz11TU3ij
uqDApvMaWAtnrhUlwVULU8ddR/wluPSYpkbN8izWQmYVLF7BtG9j17MCaJ3lQICKchuO8AyU8iLR
dMGsy1impiYAr2Dm5JA98PjogMXMSWo3noq0lcnWDKG5NrGl1LSA4Pq71bQsRj4qCGRTbN7wS8cK
wuA0p6wGLsHLe1ONw4mBDrg6mpZhxNQ0MO1YzYQ2eTwbMlcNJ8C4qdJzyJDFHuudIZvruIotD2Al
X6xSjRAoUzdVPvyHrKssQZaBR57nXyA2EGpBtaizaRrV7oexqSmdJUDW4rOoiwyD4CgiUT0PdFvm
t7AY09ME0kXprClBg2lRZyEwoLgfIfuSDGV3ofgAr7YFU0X7AcbNqaYORI9hQMMG4qEW4IyZAf8k
HxM6rrIUmln5HBRQPh1UVC0wiu2TMGap60Gep6J+XMSBPzZBCtmeTpfiOgm6xPZoXCWjBGJvtM5Q
kNkzXAbArLBIsHKKh2gsFlGMO2ALhB11cv09iUUscnh9Qlp5fRdbo6z72PpLQ1/EwQLWOYVgH0PE
OsaSt7ZFPw5ZR5pLtxQDZNtEVV84TQ5LUmhYCgJCAc0xC+II519HnOXRaTWorJ+ZzhmBHK3D+qOd
EGfp9IEKJIeIic6avGd0alzg+SG6xonyM1qlxuNdMI0hpfUVoi7wLJIwaW+N43bfSh3Rk5Z1YTDl
qYOAHuUBjONkRdLPct3iy7EvqX1jagd/xLUF3+hcy3CvxgPrpy1RSXyie0K6Rc5CQ65ii4nPOarW
L2eSVGbOMhOZ636wa+6hqgNsoi4HxQoDRvcMVjDxGYg0eLsVWEntQ3IE8ne1EQG5TnSTph8gJhX2
oreTrrmo+3rtfEZDf+2klttPi07BTxfFOLayJ6oe5yhl65tfq96BfQK9SoUvbSeHu2gqBx5VlBbp
6Im0halTZmEa3+SawZTXDXgFIVwDm0rqPLqqsD3oXNIyQgB3p/vmQllRaWSMmqqf9dCAh06BniJr
owGTyYM7AgPSC7z2k+tcfQ7gMJ9T3sYxZGQjJ4X3YgjdZZdTUKPXyfABErPInIXg5iZnRZmnyS2H
1WJucoQvKxFWX2HPmlvJyI5iclrwUDRnQVSErT9oVnXg4EKcXBJ4rB5i1XCXZqlz3TcGuLsKDW36
pQNC0JyowFLfh1GsbUhcAdMEcQCn05gMkZmVrhJfgNRWM9WVYQX5bDBzg+6iD3FRmzOh0sTxHaJJ
CGZvncNoIyI+68Rqw2lGcpgmoxVQsbDzAlcrBQZ5OIVzqGBudGuLPU0cC55o344tRO1OV51h3RDX
C0RWt7DS0haB610lf2nRio/WAG766Shqje9rkw9GKoxZu4g7AkP1CkejZ3ehC0lcgKXzrFS4s7Fo
2/qiH1h2C4xnJTkzJ7bqW+dk7FwAJ0XYjPMyS4viInd7+9yqkV1MoypX7Vk4dGXkcceo6CN4IuYe
iRzMCJhOA6xiZDojRdfyClaBobrNwgrHfwJnRnkrR/DAhk9lTS0Bg5lATyNmpeGpFZTdtyhEVutl
zLjpIhYI3/TGCsa5bioTT+OxgZc0JnVCr/s0G51L5ZZZJquyRe6FjSO79wbwbsy0i4BvmXY8j0Op
R6bAdhiTTXFPe+23GeF6PvIK3v7U7kPmD8GAjBeUxq2+AKeGPyaRhncNVjrxGd51YJlyAYTGrCGl
SGZcRW4n++Yr4ZAexMDctOyTQ/KqA0IurO0LO8h4+6EKjIC8Ughv9BQyfoAmBA5Dfx7TOi3OmS4j
ek16lLmLoC8E3FffW+FFqq2y85UJwGaAN9bUF1kWgP5apOHMRDyN/K5HaDFUNsz7ARj6WNpBxC4e
XOenQpsnt/SxTOR56vp5JvuQlPhFfKcLU3yvt3PiGwP9D0ycQ/j8Czrl4UTF5wTMY7EQAqkfdAqk
zBm0RYdzu4ElAC8FnP5nKXM4ogiKaIBlgXY068MDf6TMBbQRBAoGGi0LB7bwPE+Z8wlEmi70doW3
/vUpc7abMmfQBtaGyiJQAYqJ1tefxbA9JKhhKQjsq3Qs2bAY3ULRb21E6+AKzAxV6sICt/aEByzz
rCa6HezQlqlrl35OGsiYB24sIepLp42obd84Cp2gLk183lPtNW2xxMMYepDaXY6V6X1FgRbQxj3L
FJSGVEFynVQwt0LgKktlbNlymN98GNFJLFzjpw0OwAVOIUdvqXYa6TrzI7c+a/JSSMziLy12IYGS
z91Maa/o/bwd58C4drJFCgHLXdyMYfe5cIuFWXPXcVaA61IDxS3A4shYj0uR6BvXBQqyUeR/s3du
zZHiarP+RexAHARcfhzq7EPZbtvtG8LudiNAQoAQIP36nfSsWV/PrEPEXOyLHTF30z12u1wFUirz
yReaJty799yJ3+jAyh029S73Si6hp4cfflm960ZPmXCiYjKfy+qFOc4Uxez4Vc5Fd7N6wUvfVX0K
S7c/BAqnqNFf+qztCUt96cBTiZMxI/N69m3dFN5oP3Vc7rSczwh49iSCQOnlXvmqGCH7vYbMUM59
m42z/zklOOQtJdIWeNLWv3TGHmyIw4CuEDawaILjXz/Fmnc55/1BwI9ZZfPEYXZPU3ftR/fMHJ1h
FcFeFIrrjI9UiwD+wVqP3X5ySLyLaX8iofjoFONwdcuLOycXKMMOZELZ0VPse+OVrG5fvjUjr7wC
oFLVXR07mX4vSGfSym3dV2MbxBYUAYaHIGPdEo0a0QbAhh2e0ldly5Z61Ig/hp85yJaIiHk9TIbd
Bl0ZF86ymt2A+GRx6Jg2sflK3eRpsuuVzOQN/sHJRfBSbwkM3bKYCKFM7a2nZUtpOEPkU2/JTeAD
a9qynNAdDg3CHWybh2hLe3COfTJb/tNvSVBVxXfllg3FzP4IwjDXbGoBNiA/mrYkyUY/SCMDiMDp
ed6yJrGlThyKtN1yqBCB1Ijdad0SqnHLqhzJvlXtYDOujd3FS9NnDaItz1FfawQvcsu8ui39giJP
+y0Pm7ZkjGC3W7esDPzFvUF4BuAOUAnStAaxWliyCnoeSZsqTYq7Ocf+deBbFkcneepCtaQMpw29
5XWMtj8UArweQd6sygvltklb09zC6Tn3W+ZHEf51OBql3pYHNpAm45YQNltWOKzY9qYtP/QQJHZt
/NVGshA8PLoIGv0tcbQOZanDkEJyxJERYsnVc1IXMeWw5ZU9gku7DudySzJLRJp0Lfcw0x4dSo8M
kaeTqCtz6Wcf2FuBSBSxn87slpL2W14KZ+FhnuW+hRirdL0ft2S13TJW3D30TSF2ZVv+Wv5MYhHJ
CkSzdFJt8f9kA/z/bWvbhnX8t63tfzgIt+/vf97bfvu2X/a2YBuo9xt86kew3X7Z27BFocPg+wBK
yYYL/L634WkiaJ+hcgxeLPgjSYCaCx42EWNuDB5B8HNH/As4GJTsnww14GAgy4CpIRvCY5o30uHX
vS1eqyHRMdN3DVaDU8yT4AaE6znu+ABcYHymYJqGZmoPnYy4/WRSDc5VGwP7wmItICu/Jqzv0qk1
16kKTlIJuRu4qlNiDSzvljj7ms9BGvRsV7UzO8JXcZFYl0EK5VuxLJmHbiciLDKPpuq/Jswg7AVM
kUY43DZZ76ngNK+OPYV9twJYMxsHo3mbm42MmYDIgPC0cNtBzRgi4fuRNjnyjanpN7oGmXB7E/9G
3Dz2PxGceKNx+o3LmUfHzaON1ZEbtcM3fsejCZQwkJ72J9tTkSzcaJ8Q2E+88T/zRgLN3K6ps9FB
auOExkXdko0cmoAQjUCJDJAi5prcA2LkBtV52ZijaaOPaqh8LNdxtmili25jlKrSmQr8sOpHuUj6
hp1hLndDOCBche+LFVeRQzLqB9b6j3HjdvrYU+ZM15qA+IBhl3UDo4chNKp7pJObYKfTZTSnflQG
e58sc5OGZfijLfVy3B6GtNdd2+ZWdPemUbcQKqeOs9vB9c7x5OykWk6OoLm0UNEbh9fYLKz770vn
PdRT8vXvxeMng+QiIfjPuvh/eF93n39eO0LQPP+rizGmD08U8tFC357xiDXil7UDD4KLkD2G4W9h
Ihaq39cOiF/YNngkpB/iiRR0U7O/o6QxnvdK0XnFsAqg61s4+VfWjn8x46GEPQRKPhxqvE6yDfv9
de2oxmhpGj/mdw4ZvlY1FKXV/IOY8MiJ6NKGgmAbdRGFAvACSEC/uiRmuF1iAYdlAQIq6kFAmTnZ
GGlvV4XuzpX+41LPXhFHUmdzZS4ucG/qgKjfhEUde33GCb+wcODZ7GBrb9W7oGuVahJ8LxGaZ70j
qqwK1/Maz98hjocsbnEjYhUuqJnDlIBQKVyN3H0U4Qp9ALUa6URngXFpNsnO7Dpp7j0DjeNV/KzX
EDBVNb36iBlyOAbfpUtPSKA2yh2CpJpVmwqAHSFDKtNFyb1NyMtc2gp3OeARxpwl5dGEP9KmzmwF
QkKIqkyj8uhX085EskwHnNlTb1mfLatupqg792V/ZvidUmmAYQnPe1jqNp+rShRt592UxHsqDZ+w
DgE8ByqGjFHNiDHAoKSgvw7CN3VWxv1LHI5ORl0DXCEL56GuHiev6d9glD0bGyznaeNy/UntOVng
hg/j21rBDenavegXsBk6BGmyYE3WfumlrIxvWOU9+4MCVlovdw6i1KJttc290FaFTWBEVWOyIVr6
wXfY9xDw7x6mXEZgtZ0lfZ/Wd/iRu6Cn78r4cq9Hd8+1qoqxX4R8TgjrHrkLQf9ZV/b7srIH67tY
HnUvI0BYLI7fR9Lclri+j+7UuYd18uSdN5bJXSBKdTJJCX4JK+sS0cM0gmtzmVtnLEjMrd9YeAC1
FMseccbL0i15VAt246/yExaHd3BllQwgYyBy07/Xud/WOUiG/7LOCTyqfPw36xy+658a6ediFngh
Rk3jUVoEZb5/aiRMUfLQAcRS8yeJhGeVu4nru+Q3Kv5XmgLjTwmexYYk+DfQPvoryxzW2X+RSLAY
XMTYeGoIzIhtIMCvy5zsQ4uaS6nuXO4/tVI9eio8i0Bd27UHJjkH7FS5iORIcGiMaXLRtuWunOmS
TasuU3dAXSMyi85h0j+4gbXA2CKSLsFEU2XJdXIHRPEJ/q0ukqzgTU+OSTV6oOr54xgBxbSdjFMi
1xtncGUqOhyVgFo7mbOGZY6opSn4jIPFOC3DrduJJwxvB7E52+7SeN6USgryuSpxi3k82gcK8iae
5QJak1WpHbsn1sXQPo7oU3dUx6EPd2U8VYVq4eRHgfhE3vuMrMzZjjEH6TuPjm1JWg7qxm62uA2r
D7AwTTqEGmS9XIpuPDbkQir/+8zeRz+bkuogZVnly6yRfVsNgtK0IJ/42uaeVX3Rm+Z9sVjm12n8
rqflRKZ+wSkev9A4l0c1xvfGAZplusKxFz2R0xrEb2FDj9JtgjQxoZsnUXgZq/G+FusKNDEG9bKS
u5aOHCduXZDYxUfiRyqdqkodozFwcUoUD161BNfEYd9Wr7uqLoYBzn2c7AkjO2+QXqqimex8iq2s
L+VU8HZs8rJdSDq68cWr2dHoGjzbyPIm7h7WVmHJsZoUg4/IPlYQyzRBlkphoBfVMM2P1eT6WUmS
l8qRTQrMfj+4zUm10VOQ2HfiVN1emDZFkwwEJUty6bEWcS1guz7oD4s7ezjNDief4Hex47BPfNFk
bUk6974Ppu4xLgf84FFhO5B3Nhi/1XKRQHCde1zg74msZTo2IHtZS17HYb4ZkQHmThwAaln8z3XR
n+immZ2aVpCoKi4PiOU+QJK6qcRLyVoo6l296MfQq9RZxO5pbpqvvU3OdiDQipLt5eJcBmPg8rig
i6eqJKlsSyCPSt1OjcXtMz+xqvwYWBQfOh9BaOOIx9L6DCGLfhn86NgOU3WIQ3mCYuXYBqnYxao7
0ir8gq4XO81TR+Fe2Uf8m8tlQKUFuYiUcAnomP3MwOYRYSZJtg9v9U3m0pICfwxelGzGbLZap0p1
3Ul5es1WJ4pSZuoh5YpPmV2VfK3csjp0jI33DQ2TdPGHfO0M2cVaPMcevIJqYogdQDUqT9b4gPqu
KHmjEYG0Ne72yTuqWoLhbSjLR08fXRu7xyFmx4iUfE/xWtKB+vAptrs0hnWumsmmcugOwQQzxqF5
I+2EiBoQY88dgjstmDJEZGtqAhblqH/lU0AQcuI/nCC8b4CbSjV/IWtzDkd9kr65TYLxcY5mnVol
9swp27QTMMi6ltzOq/5SS1TduGH3ItDXFkZg3K43SthXVcLuaIFopUI2z8AYTsHqHoxST1MM4nPQ
nZu6UvrwA9dLq4Yicke5EyZWqTeuN+XoX9E/5MW6kCLy+pOndZcapWEelW91Re7AitwCbblH6wYa
bVYfZRmiZ9HaV86gLoIhjgvkeG9KRPD3Dbo+k9c/SRacV6eXxcxx1YBlMu2zr5vwUAe08/fwb70C
Db1TEtby7+7bP8x4nCz+8xaOB1u9Y/Tau/o3uzi+8dddfJuRB2Pi92LEP3dxzMhLQmzUCaHYsLeD
wv+eVlD2TdCWSJBc/vG0gqGoqIZjG/+t7+vSv7SN/2tnIkYcgBGrFNYKZjJGf3I6uiqeZz7H8s51
eXWAnb5nFcQyzOezjmaD47inLqv25N53LS6kVd93TQBmrBMfY+DJXDnqgBslLBJ/NFm1UD9tAjZk
mgUWy9fi5WyKnTQaqM1hzor7oUpeWGix1qDYlgF9PyP6voxhcIhlgsTTYfvB9C9lXKE3MMQ3djTQ
ubKdD5pPp0o0AzK38GTjWqRVEN1QL/hShbAQpjq+JkvU5t1YQz6M73goGlzcsHqeRdinC0g0sBfR
nLWzvaFd9LKWiOjRWXxNuHyh63xOWnJZIv7khOJmghGfIY390o2lC84eVE25nCMbPHRdA1ba+erV
a1YN1Q5KJcKRrr/0kXz1YnrrMzRjWbju5xWrCK6M94nj/u9WDt8zmoqaWpbCI+K5P64U2Mlgijju
dDHPMzj6RtyNSAhA+fgHyVDYxdZzu3CsVZVdyB6tuV1DB+yoc4M+H+kyx7P3fkm/eVP/1GqzQ6Qo
Ur/q7teA7gwTxxoJPbqE6p7q6AsbyqroA/NKa5yu6iXsc0i8NuNdLXd+bRTymWg/jfY6rl20I4yf
VsI/mRVIeCfvC2UjQSLtlRl84LtmjrxbXkaHNa4eh9uAHSlkDGiuMzXoTWIeya6OZhyWBqSvk22K
CZA/0tj4lVFUwwDqe6C16z2Oxl3aCvmtjajMmwkHFG8gOx4jW3WrwkzmUBs4NkI0H+Pof2I25eci
3epQDcHtlkuv81CBJZxF0RgePPthCwTHxJBqZY0e63ASIT3ykAD2YLsxrrAHggMqzIqGtldRs49/
HqW6UE/FMjvXul++J7Zdxix0Ybi5EBR2CBT8t+EUOANq3RAdCd02Mq+ESI2jOMfj2Q7eplPkuL6D
UHlCEzBHt69wN3MPly6uo+RF+rOfsU3xIMMYijqp1qKNNMxDpLAZ2TQSkht0jkL+kMwgbb0SHQQI
qi6hl3JWBAVzaC00s3FfRGj0xdDGO3/TZKi2ujtn02kuou6zgXQrIeH8TctNEHXxpu42qvLYI9VK
2bQgyrfYmgOIicq1d1LiTmk2pYhS3n0J6ciE6+b9piYpZCXv6NsEmanktQ6CPh2hQONYlMeVytu1
RHd1hkpNPPk9UBwyCfpVBKIvola1ubM6bd5vMncJN3E/hFXOrLOHCmnsm7fp4vHSNEcFrVzLwSDl
w2Uwi/LdbILaM8NNuUnsDlp77YNDR5gDx5U9O1X72WrcMl4ncW1DqasEPsom3dHKR4uS8yfwiz+S
Td9XK647f5P8Eq2jANhm6vTQE3M1dBfHW8MbgsOCU4vhdp3BA4HYa4oosWW+bqcLXZYyq0acONgy
38xjG0MJ4zTCk/qRjbiaw6Aix5E3DJVSfOKghMDaGnuVZU9h/yIZQSnJZj2OPf4wot+Fn5Qyi7KV
s52O4EGWu9lMTS6HKTighbpuZ6kWUB3MhuEqAv/McdxyS/cJbR2ZE28+ldv+7lu71qmS49igU0zG
1zZBsFNQ1dEmU7o5az3DtJxmX3gQqmUHC7tWKMNWLLj8faz/eaz3/6sm+G3+4TZI+19Fwfadv4gC
0PQoxCOyxD+LYsOvR3s8xRGne5zjcbNuozR+FwV4vgVm+gCnxoS+4Gdm8ruDiRkgaK3jryj68iGk
xF/SBNG/pB8JBnYDIQiBbSOA2R6U8uvRXmmYfKDmnFt4lE3G5XGucUjpOO3SjmCWRIsumqMCP2uY
uIJSQGGsHrHBDuCezCRz3kxHOxIAto3GykmphIlnMJ9iiBfk4eoDDO0zQLe33h1ujPaP6AvEl17w
sQgkyOLe/1IlI0Jh0eQVKOLVaxC7DP43SlBEjyhAG9+9Jq5j0iUuQ5zaxhd3jX5gu1t3zdKj5th8
iYgghQVUlmonsmg9D6+B7nVekx5ehLPsGgC1+SCdXTe0GlD3CD8OOGdQwjVUWpyYxaSNPMQUidQu
YePk5Rq89Xx2zLUBmDTvMB5gET5OFpN80kPj9mtKSFDlCaxMKZcEWcqI5UsZUXiujrLB+MUcdkva
Os29bsyUJh1HGTJGmO4236co+iyRf6VljRTWn275/MVTcPdKgykYS6Lr1DHyMVpJmxLhvTVcOema
jB72MIT9CiQALZU6DW73MXisGeEjMOkWoZkxLYWKwLsObYVzDovCfDHtk8tQWNv2HbVir1zd4LUL
5LOoI3nX21Ve3K42GbDCAu7tnV/1x47LW0XUXoxsx5PoBJ/lFeUD0qetb46SNuAgA/cISxNNL/ze
4M6wuZaob6cut36G1/OCOQb1aa4jLNN4+4BPls42OEDclbH7xGM+70QPMzKh0TkQNbJ0uDf1c6sc
jxcjp5QWZIEm9MzVVbZNXaqGvOEyhk/qPlazuZaYRYPjv38HnQl82jsMil7DJjqW3O7bWWNFtSqf
pwoHNnG3JvPeWz2Ttu6cBZjooJY+ZU0IhFw0L2Ekn2A+YXBA/CwcWNcAdA+rrp76zl7GpX4chX6t
J3IgawzYgLM+owN6abb29+u8hDtUn7zdGpkL7aR7xkeONVw3n80KXmXEa3NMFRa+v4RoKINMtNHe
t+GbNwII7lzk6Jrf2Kp8EEizjiacqovvBI+gHz46R4E0fxo1IQBSkmvFmrwHONf1mIdCybObNAuO
yc0ec3AgnBrYXb5/U6v2Teiq3jsR3fUTOp7+0Oeoj9YZcZBLDGZ5T0oiC1csuaX2FqbKHXPjF3Cm
Z6kctPa3aCD88HuX5m7ZPNqK3S0keBnGBekDeeaDSwrXA4IBpjKrW+e2dJN9I7pbXU9xypLuYy4D
UfhLeUmAAKb+zM+c48uQLC6TntJlFEe0CC8wMs74Slusq++fQK1PaRsv3NuRejIZtUDXHxiOVR5i
0eprU3tFFzYa7VH3h8WRpK3nrypZdksyFybGS/DjtynuboQOnAwmRO4TnU2Tfxir/tVEaA94wgAg
D+gl9vRDTAaeYxIFzyA2X2s9Hhf0c7gzl+geB1e/qY6Atq5eh+kVxs434byguRV2+7Ib42My9gfW
Rvs6bl8ar71gltGXqOvdFJT2w8SC3Ov5DevQbnL1SyuCx7HGZyH6+VsgcKu54w3CnruVC32sDNFp
U88H7g3ob3oPuEhOUmMoEJCmO0B+uzlC+oqt/RWTHHLLAr6blQt+bzk7CTk7vgsZtjjHwAQHdwx2
0whlZJfDgvkc0LeXNZn2E7fXaW6nNBIDCp/jee1xycbQJULxL6Di39qlvoNeO05j8KmQjDJJj8Rn
z7OqH8NYPSEJ42lIoVxC+Dhz/NG6aFUIDUgVXZLSGy9m6jBLxcMdRpYbJttzbbu3lfuPCUdKhM4A
rNwBkyOouw/meocKw10o5LmO4h9/a5Of2mQbavOf/Qqw/9O/S1bxTf+UJYgVQFCgsuf6eBAe/TVx
8PC/YPRj5HMEhnAbHfsPWbI9rifc5MdmI/xjfs/vuiTBmOhwQynC0I/IJmb+QrL6Uxb9oYwVIm2A
GRLj1QEBQaHsj7pk7leFEgbz79QauDAj5+NigiFHkdtHODXspO9hAZjMSwTILVdV8G3048sELywP
N866WRH8TyM7Tzg5pp3bgVB0xzS2kAWrmm/XEeBgkIwyk1J/mKT7ymocPQV/aINm35np5Pnew9Dj
bNYMBtN2ek8BifAuHSZ+pZUTfVFtIjOeiAkEdPkFk4NeQtQ7oAbsmtFV3IWVf0cWWiSDPEV8OLah
hfqZSwCPrRdnM1v3qIIWXtz/ABnyoJcqPHXwZDCS6iNGXz5R9nkFS5K2Hk4VPqoUKQ1El2PSWuau
yIajnj0vRL+1ODRkrGUHT8su7TEMJxXMH9MJy2pW9/5tK4YTbzEQYxnHH8PMMLHLkXB4eXy31c2z
pRrumnDuT6vAVAtdI6WIhEQvn41AIN2qvFVUujksckvTIbA/Ysziup2D6Jut8eb2pWBXD1B0ytT4
yUBf3DSSH8PEgWnp9WbPOhXfqXoVOMIu+NRgF6VjhTEVLXAsFCU6lsJCpnsMDYJ4GcGUB2tUXd3K
J3vbN1U6YIAHQh8fZ7llARIo/KpwDW8Ovr9yTOSpvX3DtnKjRVWPrjCWYMseRFkSrOsG4WqAWXEB
cMRdsPjQFmLy9pP0RdH5zQUEydlOzV3bkeNkKosKfvyjtA1NG4xlKBxV+7nBcJCClJHZY1INL9yG
xXgjiAGyMiT7qcEps1lHvU887MuiGtFWRBXkAQFsvNd9yAo8JaU5uG5Z5rDg/FT5vnPFgLkgFRa/
6bBSmtYw7nZx5UyAAJcYk9uqvnBQMAEx3tanEBb/vvLYk/HUvdZuVzAnNqmc+g/JMUKqZhSlpiEJ
Tn0C67giWynXbm9R7XVviwqbLx3aNKnCtnwwGg1kD9MMUuCa5C7ELKaU9RaoK9731B8dfYgXKDO2
BAjtIl1/byEVgcFEZTFjmtvBnaD/Ql6UZYdUAFx9KpJuTEE2ixQhCgYYNUucj5D5GZ0berVkvTar
fqCLaAvMN4G25x6/RR8P00Ha4cfU2Y8Jkxd2U48tkCccuyLw+8xfac7HgR6pgYigTjTv47ILHjxH
P9eJnJzcnTSQQeathAAV7b8teFWRdVoUWBoOwpYNe6c2T8RZCAjTimbunJw6QLzFshiSJrMGKKUM
8EqkkuhCFXXXOScnAFrs+19mxBEZEK0nMTSnqOnul0hljhPdqPCtjLyzlnR+RYz3udDpsgaOk3ZI
5vN40ctFwyo4JAlkYD0Cgqha9+Lhp7Genec5+DGgqgQDiN+4i0vSOYmebYymad3YGCCD+K4i1E/R
TjvKxlzRzb+AjkY1chuK1YkYyGNNUMeZGSZmGbliqiHSmxFf3ikAIpHyw50x+AjJIO60Uz3ytXxz
pf7aB1geYref86gdz/VC3tcWQlu1PpqNSlY7ogkGM/mo5wZjMTcKppqFxcjVfANe+UVTxIyRE9wn
axSnUkTdEaPb8JWTC73b8jnrJ3nWjXtAqwGDU4Jy17hyuKuTyUA1N7BX1ySf1vFTlRT07FznKBbS
ryCzRFjIbr3pvOmbDKJjp8NXlBnCYy0IZpvYD5x8UDSU6wG/NN8xnLNSQWzOaXTLGqwyicTUwHHJ
2gTzxGZJDs5AD2bBmcGr4cbVyxWDLy/cU0gea/4xxckh6vxbUvV7Jxj2FQqG+EyzlRP8OXxncV1n
qtY/VB3do7E8FbM0x2lDofWGuQftFaUwB3uBzrhvzmziVwGKmtTsiYOqZrQ7RBtmrcFb83rK0MgZ
065UUH9gskuUXmuexa5aUwVmG6n8Z6mBRmMfc8xexZ6K72vR8qyi3YNbj2Pxtzb6qY3C/+rbPGn0
McS/A8+27/tdHgE8g84h4C4w52ojL35xbfBUlNAnePq7F8C02VKW312beJvCiiYd8WiCL9l41t/l
UfR/KP4Cgy0QAG2zL/7S+Csa4l/6RR6hD+Ji8DeeLo9Hs4Bl2sZl/MG2IXM4CkcKcWdDhhQcgzhn
jGXA/Kvcdo2EMqcBhvrxmwCNrB3MqYOL27rupzumHZztmzxZvGtHYHH65LSo/r3VwddS8QxDfm5W
Sy5VEhwswwXbOtJkLKq+KsOvc1m2BYDYd8RZNAuYGdKS6z6zIKfOwmBIHUedC0Hu1MH6ZnAhZXxB
E+8+Zhjwkkh0EmwE2C1pPzCDY+eX5J6tsCBGjN1CWep1IRiGIzt6F4cDRl3oFvkrwXFEU/mdSpAC
4cogXFhEM3Q9yTE00HxTdPRL8eSb9dME9kYFyQcv1dNiZoQLvNpLqs8U4iuVM70LZXTiWOfThIVf
fAe9cjm9LYzu1NYAGIkzpEsS30MZonwi75qlvW2WZtc7BJX4cKkxmwAUCBmdlwTSCUNIsdWHzYWN
gGFtb85+0k7HLuQ4TrWW7Bi4hx3m8b2hNH0fzvoS6Fje9sMVmN9OtHVhInIHWnGn/fXBbCv61rr3
R/LuEwzM4c4rVtAXjFrZUY20PoHRcPC5+KiN/tI7rp8Li/GNCLtvzYy3Du7W1V1LQHotFc9DgH1T
xROmO2Gr94dovkULclcuJfZrNFMzo+dHBmWD/653GBzF82nonjVeRjlgO2xrBxTJIvdh7eK9iUkm
XXMeZnwOqJhHaePGHCF/7KbG+A91LM/LUn7HWAJseZQ+BZI+OBhxnDkTvSQCjJ8OIwb0Z+DYEtmD
E5ZHTPQJLqEEGbwOzRP29m+xW6MGKK6Ctd+bbnyuEqzzmDQHMx+/1AEDOpYscTB4pJRrlUUeJgQH
04pKcgn3sm53fa1zm4gDkKW9G8yH1oPiw3wPU3hKf2Kv6vOAYhamG/WvUooiIf0GU+Ld3pjtrJIW
9udKVOqrEXxzDE7JYodNMXGjv7Fm/DJYDDHuNaZwus0IdAVQQr2iwS50B+kyyrMrV34hAko6Vq81
jS5hED50s0S3u05E5hBr9yCYQEqW47JLMDIBho331nfDYzzjgw8xTM6E9tbV5fdydtD9nsOHpI9x
RCgPiw+dRcryGG2cY4iLPgV7v1stnEVMeghSr2pBvWBS1EYyzkh8zHvlW5WFCn0mjnc0BTB+mmZI
pxYGmwFRRLio72BQ72vricK0D06TEgY0Y67sO+qX79NMnzCf4anlJNdrfN96XotTgw2yxfMRXtXO
s4kdIPA8KpiddszM9FTXKM/2ZArxsc9oizvmHZ+rOaFhVci+Rz8sRlzjOcGnt6ob7jo3K2DGoo4B
OGFa3Lu09cH0U5hJKoCuRCiMmgUix4wg3FHHfRTRIrNBTWRfelWSgdLF65mx4S4aVyD+/ofHVyRt
4C+RIkO/xtx5GLT7qQQuiYCK+iSj6Es/DreKw1eBF//Z9+5dBMNYNQhr4UMGG0Tp7ShpdvASx0tJ
3P3aBfi08Y6fhw6/NGYOzhnK+F8DweVOOliDMRkAPvk8BsBKqkMJqxplHvM+0FruEyyNQYvR0L52
MsaCG2Dxd4pDOIeYxJObGvhvIxbE3fJ+UO6+GYOn3mKtlOSRVMgiMfd4BHYSvVdVfwIFf/Lwy+VL
7VIUmPQXeHskK5t6AEaHDHUMcVG3qvw6U/t1nIYHpgIEqdw5YBYZBoRigcOACP3YI0fORwzr/L/s
ncdy5EabRV/lfwEokPDYVqG8YdGbDYJks+G9x9PPSUrd6pb5JxQxm4nQQqsWXRUq8zP3ntvpSuE5
OnXUYPv5IsjqNzxcHBUlxSeki3reBFWYLTSjuZv84SHR2se6kuq5pHtEvKVuhTYIT1W18DA3ce9F
uLJBozDFKoJqWqRC39VNfJtbOs1dV6AjA4SXjCoqmhhTvBuDPEpoeNmgMfB+6K3roYER+DREByPU
r3M0AY5pPaCWuo/0jLcGkDUj17NWFkifU9FsYW98CA76lRjdC8wHPtqG4m+BPqULG9/+KrUjXAiG
4RXucGzK9KZ3NRReKcdvNK3mSdzmpnUIiwmfbdA92nJDrVbtvmrPvTUtWpP5fGAHF2PSIy8t3Gij
VTUL+jp6xMi4AX8WH3OF439W6pM72QpLvi4BsTGiZESEsGhKh3fLx3RcBnvwiMqy+RTcik/xLWsS
jRa4+ED2EJ6GHHpvGXBi24+x1O3WbURh31bzdBafut6G99meZmsbOAgOIh+Lo2j2fju7V0KvkXvM
CvVm0xo75ofn9FNA3BnTtJnlQjwsHcyJPRN9F4FDxtZcKwFvs0W32KYnKFaZsygIOmpDf4jskhNC
rt+NRtmG7OMNo5ESMfVDnyhgJ3SQE+q/KRy3k6p4GTt9LVH50/kdG10UXjKm72OU5AumJRtNjTUU
TDT2eWA9hWPWY2Bp49VQhatKNOyStHlt9Qo+G9s6BLzY5RtmN2H4Nwk6BAXJyTmq7Su9HP1l1GUC
vo16z8vPLY6OoRzjPRYxe11W4zV+0k2MsdtjfpWv81FNllOtll6ET4E2aXjK6Uqo/m9NY/Ks1Lxn
jXSZcP4srDnZMSxe11F66aXeoinGNepM9gXGO4frpXWHfJmGPAIRYg3WS2sOOAGEFJSvKwBOSWUH
bdQ2t1pt4SL6sN2aPYQfdkgCkmlVjyhhOfelbxW9CLOpVSYVJKXF5j4qtNe50dCoDcPGjmIOZ4Qn
FLlPNUKU0U7tZZEpK4FExRycZ66WdT9oN8gaD3xyt7YmtWqIW0pUpss4Sk+gR+8c5C9AHRF6Fo9m
KZ4GqY8xEco02ngqpHJmiFwFUQ8bHxdZDX6hnMVBuptxMRr1aQyCdTloidehxAmlJMdSrPuu7E/z
GC5YJ72lCHeqRNCE69OxH51uC3egXeWjdcqEky+tjIMQAZAKINurkAQlhXYckAh1UisUSNWQNVuP
8ZBlKF7UmfUg2iIAIprXS71R37mMrnCPLMwMyj9zL2PlzPW2kUqlWo3f7IEaxkHEZJcNaia4ZJvA
bZpjViFeqhA9pbFsYRm5JamvbNxsiKk5/ZYPl5k6s3FntcreiuxsY4XFzqXaKhdpqTMYmnuyAxb/
tmO/jqoZ3f79qNr7SP9zBr79V+NqvvBbP6bpv4Afp6sQv/kIf+jHDCbPGto545ul51s/JnmDKqhh
lV7NAIyms2D/rR8zBLk5KNpx/lm6aSMv/Sfj6p+7MROon0Db52JzpB9ko/+Hbqz1u7hJ51y75Ewn
1CQ62kGy1Ptp9cMr8xtl4UeQIOmcf2z7aBylph8dISg5cFM/t31AphKGdclwMU1MwC3VvLEy526f
RUAfCko/Ph82I4i2uHKn7lgl5b2t1SBYEDIvB1BNq4SIjUNfm66Hhw/e2tSyaja5XvyhfqIRJP3C
CXHPySlz2KS3JT9wyQrrUqgRrlo7B45RsXxyQJMsdQakTDAphLJx6TJfX+aimT3XtJjMJvnat/o1
cMbW6zAE0ZPA8bWNR2rqk2t0Lkej/sQOq1iinbtFu3OjZONZUcxzK/sNdWBqA6JwB7TkPPhZwF5f
3OMUZsMc9L2nSR9y17fXsE8ggnaPrlN/cNi/BNn0XEsFW9LZmNyn6GLW/sGC67HGGLa1yLEAc1zz
DtX1fWEF28iBE52G4YGtxls+hMm6z7gYrB4DUVqMpad0clSKhohTf34RWSY58vGV4YCIn1KoRqXu
VVby0tnivm4Czs+sW1Dx3dhVtyHXYItoTWEeD5BqgHOLahr2VKiZt8pUogpoK2dpuy9ui3hMH72u
gpffdEZCnaN6DpQH3r94w/r+qzMh41Mt86T0HS7rnHVABatA2NNZG6DiTMARhlBEa87dCxCaeM3C
eTNnxikI/GDRCmPj9ry24UC8imKZvVdW7gthCFsWJzdFPk8evcJDZCFiDwCSIE1Ib5uh2wkz6b1a
V99VKtpFMEwPaRSZ4MLmK21Ehd6EMR3iXH8RqfZFY3W7TEaxLVJ3h02FW5mbi73JdQZdbrQL62jr
MzdAmr/PcfkU2gS0ZFZxBwog9ozKTrZDp29YFlDU+2vGoqBReMRoEo0hpKoLq1emHEG9nh2FBbFp
jfRE6sgeeDFpNTAeY6jIXbGHtXAGebnX4z5NTWTZk1iqPpItQ/8yqO4uMsW6n1HwAbAs+4fE1OWk
dhBAf81IOvxHEXlJrO10JGiCpUcr9YlO9QrQ4kYkyofj8jZVmNQLnkZm8z3JEE2LDH/wwDmLnZKZ
bBmG/ujU8CEUBvUmtQ+T1j6SBt3h2YrtBq5weQoi1V825QhEQ7KImmMZ43Zrm+0wtE+g9lCXURr3
sQqyqTglFh9ZPU8u+FEOqaLs5pSlShiE4YpulfVXH32xBhatDC906DPiBjjYZizajwTUxXLsmFRb
5ROIXrwyu9CooUQp28myX8dYfZnNKVnaKWSgKX1Jjdt+aNgZdPsSfUwKJ5oucqmt0QqGrtGiZ9NX
AyOmXtPXtQjZz8xlv9HtuEUTwdYq6I2X3BCQuorB85W6ZqZQbjqRX03F8FwXMSXOZDyAOHVOpQKM
7k4GNQSOUfvbQiOQ5n87Rn+2M/GhYeEp5OwOHTbQFWZxPw3PmqbRDX+ypsswLe2FsfH3421x2lHp
Ka/5Y7lKdkyIF/6Baqnz4o2+++/HuFxd/s7J/O3Huzb3DitEk3n5zz++9umHFaubL739Wvo7V0Uc
NL4wzfu1ovhbVuRf/RxNFexyNQnjVf8g7XJb7qwIJtRFREd4rFCZP9xgh+f6f/k5P99+v/49vJ7c
gQKNC/6Zn/+eCnGs2dGJXCzzUFtXpY5c0nj876+Z8Vfv2Y9/zB9+SBeqaqNhsrz06+YBA86q36pf
HE86nE4Zz9jipl6x91xr2/uz46WLc3+K1g/Nyl9dx/thsSVm5AjCfBF4xZr/Vg///ffTftbR/foi
SHwA8Vg6OJ5Pp/APhJwUriVcE1VcWA6f/Wt1pZ7EY7AHBcmM1ZsW+2exGZfnaj1sTXOZHSC9XDOF
W2OMXX7+Kv/XMKb/bywKEyXAD+/Jn/KJbl/fa2gU+V/qMfnK75Wk9FNiAf8eUvFDJSl+cXAQmN/j
K36c7COFAGitwVnEpvkzakn9RCNhNgePzjD+n1SSmkFN+sPpYKoIH/CnS2u7alCW/vFB0uM+b+Zi
HJAEOerS6KJyrfdhvCo5EzN7bNeNkrDgHU2jf2ZQdCjB4mwslJlSdo/hGUCl58tUnCAgHsfBeZ5N
OewXNYKy2M6vpkzTAc3JyrJqVnYM669M/VumUdYp7+k5p16v1iUS+zOQ31UchA9tCHqelm4duc6e
3fneqMXXZJwehjDb20ZCUEKNr0DbulFITFgMHpQVfcnwHTHiPOmpFBw2S8B65FCY1kdsG/eDpbwk
vfIx9CFZZf6ULceBWWZeZF8qKc5KVIXLtu88AdtxMcgMOZqutyk0EllfCqhvmL37ro28bioewqy4
1qxgBVI1YRYCdbDq2n4VAKUPuFp3VqnfIA48EcT0MTOKmvKLJUCn6XVyRmq/nsf4Mat09Ar+e5ib
dz0YHfbdXyfYzUwItGtotNPC6WaVBXhzXyj08VPXgtFJwxQ6azpSBeCOq63pNgta02vtwdg2jhov
dQYDK4gV9mIuMNNkEbVV48fuirE4EhQsfgnX/QJS7qbrlPjGpITyRoCpi3gy6PUjqjSzUPRTXSVM
EYoBU4sjyj2zpZuiGVGxKoW66cZmx10XUaSR0mBIO1j36QzL0aoEJ62Zs8e4MRVgqFlV8vIhSx91
Cw3/GOFWNZ2vsLi3Y4gGsJWlcda09qn1gUS+1LAwvzDbpLFwRepiMxP+2mxItLNVZg7NDDkg0KZ8
XbIrOGWzFt07iCgZU41bWMsvCcoPjPdldDUA0/SUsiOmYnLu3HzY6Zm5KbkRNyn4zW0txL3Sodro
1EFfjf6cb3oAkzfYCqqFzQjkqsldr1J5LfWmP42AUu54AqiPDRuodZWOF0CgzQrSXnlH4NVbw814
sElrWFpx+AFfa6RwJ2wicsVZcQq/XajdyEtvCgrwttvWnV9vtdpKbyurSq/6ws7vEg0FYclWl2U2
5junhZNlKYAe5nYRROZ2tAj+6HyF4DC9KxZtMV0NLQ58Ra/HZUZA08qMkFS2tLbriXiGfTupr6Nf
LqsQq+FklPirVJQcAQlHARZ9hBmGslMUd3ghf4NlBHYBhqhtDjmqSN4T3cSE1Q0kk1TOPhkYtJHm
hCa2dWfCGebSX1gmUQ8Afv1jGOjOyeknBDw2/ZZMsrJlplWckW41ypyrViZeKQ7ZVw1RjotE5mH9
ex/9OtigBvj7wcYq/Y9X1Fj/uXoIRmmn3+M+ZSX27Tpi0czoEnO9btDJac7P9gAw0yqoEo1NNIOP
368j9xdmGgZEJQ37AIMP/unbotn5hfqWnBYTMzd2s3/mGeRq++N15PB9qJRV7AE2LKY/1F1V4I+m
Inqs/+jFB+n95XrwFEYxJAA19QUKOONfmrcn0yjbpSs3n63NctDJ0ME1Sp/v5wD9HKEHNa2X8Yg5
yCZDxGFiJzQm5AaSs0zyemnS62VrdAXZM27PYgdPc4y5mdUKAXqjE8I4s+9dDNB0OfnamjG125ij
qc2CbY1dmvPm0R/gjfVxeVsXIaZzJXK3Qg3ec8zWo64e0FOdCzXEYyv92Godi/VkMuEsMWunQ7SZ
pHu7wMaNr+zZ56ZrrbKBo9zdqn2QroOKXUI3ME9FZPZm1Qn0JekQr2E2r91i/LAK6wMNQOwhs+q8
pupP7qg/5VqR78uOE53ki1etD69D6Ubn13x38+wqQUXu6L29VEJ23A8jDDhMBGKTCLghJpAQVDPr
oEBd4uOBms3sg2zS1SiBIkVabpihfrHr4WawkmBLwp4DJM8Emsz004sjxVp1ynhlh4POLkN7iMCX
9JJjYmiiQCbmFOjIoZzE4E7SngPZal+gBINJ1SGisMG8miUjxVGnBydF1HUZG9hOZTvOaIJo0dxj
qJRf5y408S708aqJO7DaIzNUY07HTRbh3Kyi2N2V1RRe64l2z0mKUxz291ZzwsUcJPrzrNqLMlu4
bnfXWWlwBkTI/aZmNcxXJdmWZrEaUFMLHGs0vQ4OPKyLlAjRg7Q0IvXqnIWuYKPSA8TdpVWO3Jgg
7RWluASxz4nYgNWz1Dv48DLWC75Cx6AutfZGl/MSE53ox+NjaUZfbD07cpZjnRAVS4S6JdRU6V6N
rMG4ZujP7ARfGPcA0QnszeQaBYyKeKupGCLtovHGbl4rmp5DeOC0zxNvjG28GcnR8m1yBUj4IM/g
NiMvS5VGBlDuFsf1hGoqAX3dK/G7sJQnU0O9FY43adgep165wyf70tK+MbRyF1WnHKqxPqu6fz/m
8WEaMt4tX3sIMkCGYe3f+aN9aGNeoVILjLVeMkdJHPeca0g87OHeUsW8SIM0xvLPiAd++RuaiZuh
js+BTJDyJR3D7qXW/0af+FsyP2J7InZQ3paG4+wDuBSdNRxKxXwLpvZBjs+C3EQRal6F0bzVSf8p
VUACSTM9mZ3jbOJAyRZJhMyJYw5gUKWwGJGyNX/ssflE9VPdZHvd7U+Jru3YtD50ORJLMmt1Oanf
IRCRSQtSbKqkNygy30D3I99KUgwYlrORkN8VGitn5bfc/7D5szWU3O1ssHiJyyyGnF0uxwZygYbk
VJ64nFKYHxKjvxQdEzENJtu6w1MSqDAbBCRIlZeAM+lan6xT3LnvFJ08W7Z1r1nGSTcqKrsOBSFZ
tCQ+yiOuDmfwROqt5ubr1KYS1krCexvkv2Q9p9sMJ6hIW5y9WWtRj4yP3RzcCtV4szOW1oHmnIDD
+ZsgUJQ18+QbYSPirYJEwLy23zSA6iuRp8CNrHI16aDPs0hD5eNM6wSVWt3O/m1czeyganGXR30O
EMqO3stQOVvAm1dAzW6GKHocqPFqar2Mmg/rz7BqMTsj/1SR48rKMPqsEpnjZo/ZZ+04awE7T6sv
VkS7HkynvnMliqCWUAJiL15Y1JNbZvQ6CLz5ye+BEth988b2pFrOXX0xovQcQjvQoR6M0A+ExCAg
Y9ins7ZKAiNdda15DfXg1Llw7S0JUYihKThQFVSlRu8tQQvm4KtMlro7HQZD5JPYCpMhlnCGhG6P
32Z+ciW3oZoeMnO4Lof4wvPAiwDhIYP0gFBKBXuCkLhX801nY7HGDnGbw4cQVrMnhuFgqON9rmHK
MsyLRRtVukZOMCmfaomasFOLMaHET7D80RBqgqTIVbAVnLGs38ttDrWilvgKO2s4dixYVBJtYUrI
BaQLcBdlvJslAENJQKZ/IjEkHAOxubZDIhp5bMC7VSEhGolaR4B1AGsEI2Nridr4tyr7rMq0/6r+
OxVfivc/V2Tyi36oyFzX0VzHgq3MKId/+k5xEKAnbU1H+adbTO9+N2yyTwKoYLj2ZxjWj4ZN/kU4
uD8JHHGZH8Bw+ifzAUNueH4fHjIekDUYBaMQMoP91w3RD3OmqqiA/IfkJ1W0eM62SgbuFNO+ElB4
0KMFiq/Mq6QsBgutLOG/rod81fC9Caw/2wo1E+3tYInA/To4zbZWct1/LZMsVtFD56ly4I9u/L1A
UCtWwawoiBySHBkCcvew7EGYaSMd02zORFWkJAiwg7FzW4qHJ8tC49oyI0HDOnU2RAhSLMItkn94
8WlsEhY8EgC1raCj8dHJGngJ1ZDWVxwBHdZNHXnPKnDUAqiNg+Vsbjvlw0Q4vPn30f+1IaE4//uG
ZI2kOv+rboSv+v7sw0e0VKiJ9CO2rho0Kt+ffQgmPHk0HJbK/yET377JXm1SXwkiYl0nN6mfjcq3
bsQE48rDavOp+dXL/E8efhS2f3z6XY3mFRaaLUyGrPofJvdJhmdibH37DId5H7RVn5/aQZuIBs36
siThI+rmjTM0DXktWYDx2JUE0sIlqpKKKHwe9eaWiJLJC5scBVvbbQg99liJsCRScw3PY4r+1I3f
dEAQ3FEmAk0F12lOegB64ZaVlfJMHsYNLqDHoStEct1iw7nFobF1B8ZXRLXiHGzgK0TKOWEONyyq
vsJxogTPiNnCi++HkXUJ08m+mLnD3suA1a0vLHgnBQbkTM3vLHJy1j5X9LBqRuG3hC6RyvrQUYOS
QZQMj4nmhniekmLLvC2eqD7rE4Eq+6Ezb4gYnZCx5w/qnN51BkL+IizfNQlQscLujfSOaFmjsCG/
/S2UwRK1YpytToOJMj50YWQudXohBXmgknH7BZIbYpSl8JwJ3FeTI7IQRvgIpsJhZZdAcjBv8Wpe
xTFRb5MSfdFc+w7j5YdqxNGqyXhRTKe9tvWEw4mhIgLGAZl+UCYvk04SBmbDrTqzLqvk1jNLnbsq
Fdq6yFEI5YQWIYjVtiHoyBw9nZcN0U4PkRyaWWjjteCQadQkX2nMfrgzp71eate+1pGeqYdQVQxt
WyTs/DQnQTU6jdoOgzT72k79ohau53QNekzf9PFGY3XO3dcgLA6Wax8aHQI7ObucWbN7a/v4Goiq
W4++8sV053Wqjjv4lOegxvqCpcsra+RXWS5Ttf3ya1uwJLMipHWdkr0PoTt6/ZQ/8Ui3oLJ7e2vJ
rpfH69oQBH+2SIJbXOe0TP6FhKNrMwCmFYQCnanC+oBicqGOtbnEpNVI25cXmsVTF2vIT4N23/IO
tk23hpYbbZgLz5RQVbGac2OX9dPVWJmPomnPbhvdxS3papHaPGRBeCMDT6B9dBsRWMqOekVf9GF9
M9n+HZ6U67nq+IgIpkWQfNFLR9HEMNa/dP68nRDMkAyvvNeVEnqqUSabyaQ+m4WbghGCmByYDUnx
quGR7zLvi9K+ionoWRcOQt6yy/Vl1qctl8pwBGvzBerwPupQE9dNdLLikgB51T7A6RUb1SWzYyIG
QPAB8AwRvyLaGtaT2165tfHUK6G65KPeMy3NrGXY6V+zCSsqV+BNN5fLtrPB38MRtm0ZhZUXuHwS
zPbDnG8Vg6fTl91Mk0Yf6aTN1IX2kzmYtxrr5F1fJFxytbZjQqJ7uuMcwx5Pm2Wwr1fJg10PVXwV
BRZ01uQmS1FXhzzbQ4hkeIiTVZS5Fy3Iq7WV0koP5YBIoEaQWuXW3SCkBLlWv/qa8aLq6buqm7tq
0ClxmR4vfEX7QGD30Mis1SzLHrKh1Vaa291OE3rXyMqei8k4mGjzzZ6WElEng/jRwqzslDbcBXVC
clm96QNYZ82E5ynJgZ1ZnSxlbEElMFjo57da154rx9W3riozll37Mnd97jltCN+mxpNmGbR/8Kjf
gY81O9Vub8O8xbRSqinyvmJadDbWb9yGLyjVbtuM/KGB1JE1CXqDV3ds8+OyzGHRqece5M6KBftH
P0+uh77yFMda7/V+YW+TJEcvqxhYBEgGW2RMf3FnD++oHLKlaIC5qv5gnqPRjGAsVCPqEy30dK26
GXJq98kBtCTIvkmifOR9isDt6ZMXmfHkTXFYnlAK76bMf8nycfQyBU+6ZmN0G8m/XpZ1/G5RwmBj
jOeVmfvrwNCnrZXjnS5KY52g3fNC20rXjsPMg/Nw3qBBfakdk/AmBduQvynoVq9DhXQxs4hcEG8D
atY2c9ejkqMcB515beVaubYrsSO66hjbESipLHY2jIhAQmKDXfr9NO3DrvuSQEJch2Wr7zXEZkuz
hNmTjEG+DfN8vp+HjPdmmJS1KUX9Cn3tIiAhamG2PdN0HyGEcEgUMEndSd29784HJZozMp9o7f0E
0FPme/hUbx24AMe5YcgRdkgOaX0vZRfe5RoaEJwL6brUaUG6UKmZa7fvVgUwIbMMZzM6aIkmEbRL
CIBgMNLw0kZIn/xZ9ZIi6jdlOR9IBjnCkPRIN7j0Nbx9Pa5UxHVMmkgBPrtm/O5AFUsbn1mc7TKh
wQ8CgNME2OdMK98KUADMGAVUdXgAMvFaJMolraPbBGDkkgxMaxXXwiIhu/xICV4IMhW7O7WrV0cG
3xLTozek6nNJVBtboujsux3EK6H23lDVKGT95JA7xJDEYxw8VCHBy4P/bDFHWGh8dEmC+4pL9NnU
FaDG7bn8FKYQPe2bmrsihCwhOix9wN2C7CpCdqIpyvWslqqnpNFJlCboAGzvKWDGpcGdaio9B5gQ
BHk3mML8o8PGa0OS9h4DJhuNBKWlmT9mU30ec5Se1pRloE6MJW/ovmrEwUyzL0rpfB1GJicWw0OC
DZH0xh/osNZNV7SbhtC0puRfh0J5UGOVRMVDFtOmdzYAqOTV7eI3kpaWZa+oVOb2Dp+vfGqcAO1x
vZ+bgaFFwtuT0VDETD3Hmec5ws6/1jTjQ8ewsmAxehvFAf8zB3ifoSCtU6xHIINBqznRhsrthQps
F40Q8Kl0kA9Z+9kssmXH9seqMG24w6PQ+eblWJDgFx8SBrYbPWvfyQl/DFCcL0tgTCpuGVnECJ0L
z82DjRkiT58c/YzI574eBiYxDUhjpawuZeQeAeEjaEN72ykYH+yYfc5sZBvMgoxktHhliQH5uV7C
bwI8vcbhzNhzRmsFx+4261n8kYBGcox0ezhptKItktVDvbP1cD9M8ddQmNE6GJyrScSbYt40LtRW
Z1NPuSfGo6Mkd2Hao74ziK9EkbiJ4x67As4BoPpvujOsrSF4c6zoaGgdwR++GvJmVa/ARGWm2kD6
V6n29YGPz10wMVFmdPEgSht+V7FwmnrlbPUg3WrYqvs28XxHL69zq5a+iDyyIGgZplAew74o1CUM
16beI7+SwJpokPSa4pNkM/Hu5KhtFc+QoJvgk3mD1n5fgP7AOwYQh3HLZnYDZlmwchQ7Jr9H4nMi
o/CMLOk8vy+eMC7Oq9zpK0ZfgSCeLCaqNb9FID2uEdZ8Jbz4EbeFyd5Z8JdG7do13V1oG6+kF1zG
iPDF0CasJozabEnd1SyTxKiY7/RCQm/YmUlbWaJysTVcabx/8r2jNu/YjQVueKxqoOBpaXhja5/7
FutKZx+RRLuLvIlfhTt5jWscxTxR3RTlG3cLZvpUWtuc+yaKjH2LB2Qm53Ezx5gmpt7ZGn13AVpI
FIPMUqWVWFDXDJ7l51/qIWOLGSpLPOXzmh3y0agIO036Vd6ikoZbMWw5d4/ugGJtMrnssGpvu55P
dKzxA80atYpBwHojUNA1M+rhMt6UGtWuK5KXpIrw0V0lZcIJwKJ71HdmzX7fdfqz0uQV0/n2KjPj
L2ABUK8IKI1TdC4C9WyCEE/z/mxoVxZTagLgvLpWgn2vFo8EaO7aMHpu7fa+dAsUWyyuiTEbLfsW
gdqSuvc8VdpLVBKr0CicjFmwmyd73sVd+sIveB/KqZZNLbgK2zI6cCq8GFnRP2YzXp6iig8jEX8e
zgNib7P5NPQTlDxLPJU9y804uWaa8JqUDuTHpuVJcJ9TsyDMLHzMSNH9d5b1G5WU/vbvG/pN+pHn
f55lqXzRt35eQ9GC1VPCPAhK+ezMv/fzGikJUq7C0NbUWD/+3s+zksRf6n5fL/4um9ZdZNNYTuV8
DLEX+rl/0s8L609iF8ZprCn5no5jIP2Q/f4P0yyyB23mSY57pWX4ITi253JTf2ZF6QqmiZUZkm33
wri+vka5QbJUJkOmkN8frdg91rmbcF0kbwkz9oliodfaYD0ZBkPVUk9RHdT6vMtHvVp1vXtNm/pV
puMtyXbiOtQ2Cm7voInoVaqNigvcwQ0+lspWidI3swY/YMfFMYiH60QayK229uj3trYKJJ92F5fm
sARCQOwo7nPk4WeNCijSsCsO0qDeqdMWRyeWb0W8xXjYRwjNu9qxn1ArwEwb3jkPTyR9pabkKFjP
LqDHVpri2Xd91JPjJdIuH0vjPPlG1RXTuDXqzHyp9WJb4bLvpd1+kMb7RFdqotEw46s6bp4uJ9Ol
KeZHJgYnUsfJUZZG/lpa+jVGAqEBMEPvgnUtbf+iDuxVDAnAgQjAerb3KgkJIEjmOYMa0MUxVX9x
RfYjUvHMN9eZRAyAVNkNEjrgRjjYBUJXTx2MflFIOEEpMQX0vtkSMzRK1uk6M5NdA0F1QR7Tlynr
nYUqcQfkGLNXRByqB9gDtQ4+thBfW03ZC1gJQzsdGSICc5AYhf4TqCDRCoWELEwStzDCXZjhL2RK
Pjzxfh5a82XOiHckBgMSJL79eA/1+naQIIeayLnGQw9ahUdFyzuusSgJpP4pLUJ4jW3iwoEMTHuX
Ng7oKLMPwTo5qIOJoXNPGvFVezspoIhx9u14XUp1Zaiwy8mEcG99EAbuMp3EyPavYBzQm5OBuMU0
Ui/txmAjpiJkZZ3X2tFO0+7RKSxnC0deffp3vvk535Qyh78/DiWQ8dhFzX+u3iLi7/58MMov/3Yw
IrsAyIhGwtVUB9UeB9P3gxFriAF3CNWDqkNdYP7/bdBp/kJKI6co/+BQxcE4+i67MH5xmP9zboI+
+hRy/JOD8U/HIoZ+UhZd1B/Ik03tDzaPWtOJq7Ps4CrAqN5oh8gIf70y/1YbbFg/LxIcMrocjl3d
xLMibEQevDg/Hr0Zy1S3TKfxHCSwNsKOZlXT4nptZ+NphLtCLgjH84YIK8pnhS6Zz4fDYIRqAH9o
61onu7bdZgeyqDp1tUImetZRgp/o5NRxZUCWDDy1FPAYaYdx/A5qidKN4GwmjphoRyLC64JswEFY
YlOHRrWCBYva2irhNfXWJbap+1lNqF6H1H8TKUGqIegrYmWTZwQl3Ob1HH7F09LT10UAewgaUJWV
m06GFi9dKMzqSpQGZMjQyFT9Fk0BswqcgNV1C4qI3cSMP1NOA8fwSS+JyyaBEHghBIDERQLeVxv4
k8ehswQgYOXchf2Dmeh3qP1v62Q+Bnn/YGE9w39dsYSMDApTg3T16hiG8U4EQbITdcftMloHzIhA
VzI22kFB24fZVfUJqi+mPQy755Ih7jJNbWshj/k6suKtm4fHblTfCOiDLFJiATF8BntOKj7CtEi9
yXVXExTGReuyi2Rika3bcTQ3rHPmA0jtQ4+jbcwS0sGiYEMkX+0RKktLXa6qITplg6mvfJbYTBnL
zTzXO7+ObkIihTZxTpploCS7esaxH7D2z5sRbXWY3WLjOoQ6+3NlUq13oo8bHJS4CdDbrkeSbxe4
JVYGikZs87mXEVoxltVpMPAMiZh6N2E8xO4BJ2gQm9JmiSBmNLotEQQmZnhX8zKf9ao6tafKAr8L
GHTXozPdFKn6YVjdF8HOegMZMgOzkNGuhIkZXZf08TRhss0WwChRUil7N4kFCBX1PVFC0kqRkgr7
vg2VTRr6FvOyeuUnjmRfHOfMue7zfO2iTIxrf9XAxMisAQdKqrFJaDWv0nnhcUZuG7V/FDML5xKW
MSS0l9nqT4XK2DTCX2Km6mXmm/YC8KAUthgC9JPyqjXiQ1HGHdrPo05cG6AfLtXCmfc2zqm1Gf8P
e+ex3LjVRttXuS8AF3IYXpJgEklROUxQLbWEHA7SAfD0d0Ht/jvYbVffsT1zdUkUSQDnC3uvTeyP
Y0EV0OBoDi89OIeuddsL+q0DifDnMEi0JfQvexGkVNGh/kTeureqpXZgPU1IpnnJkm0ES7MkfQkz
JNHBTqTcukNzZ9KlDGGKGiZij9fDKmXkMKIPii8YBO8wnGd4GbX7SoluITvfESpA0opcO2H1rjvD
XnjKfhgwwzSJvReJt8nsrJujnzGPaWAzO7O9NmWy5/1dWPhGEBFj/TWyGNQH3FDdqJJTbg7pdlBy
nb0JtU/jljEu23EM7vI2SK8HUOWLAeaOj92jhtLTRiuhkM2WZADCohZdhdCpZiS3xaFHoXMicxUY
bFb3AX1MZc93mGY5JfpbBL+uCNwXFCHApvGIKw2cp76xT0FUBQRTVGREmR6pqZGR0r122QXYArQr
unXdqtDhDAEtKOwZE2hacgHu5yavUkAKklSWvmrCNZzvR9u+SfjmV6LDFO0MTUHcaWYfA2oef5jw
Eqd2+WKG2HRtJE/ccgBdTeuWAjPlcxzTTTiGB+rBCc9RcJW25Us3eMskABuVkFITKOpNYPMtG9Vz
06U+YLltn7TvSLwuM2tK1mFAFIohsyeCLdeR7TwTqrNAqIWkC9gTPj5KU2K93UUCi7QJ2MpgY0sg
MyRC/5zb7bCphLVKiv4JHdgGPUMFw7R7xh6+rmq+5lQiAXIetKK5t7riwdIwpnhDcjNk46Hw5LYV
qLoVmTyE0UhmOLfoMBz7IN+EObwARFXXbTtdog9+GiLrVDLEcs3+QWLn1SRRJs7Ur3sTidGAXZBv
wy/YIk0iJgI8sTdmYoGxyQT+djfehc0Q+ZFRoO217Bt42nyCGUjcsHBuRR/vW9RqIJpU7H7RhQhA
1ilxcY7jqd2WSfhgjQKhsFpvrdzwZ1e30g1Ho+Ddsz06uGwGapLEIVQ8efCwgqlcVm6KTMXdwukk
GSVAO6+nnxRXWUF+IZJgYpvXBZ/UNt3zWa/iiVLP0z1UZONVU6n8mWazT1RlW1v2cwAVs4c4YLb9
DUEiKxjM0xqxPmkicXRWzeE9UCXMNtCY7MqYQE3xEfnkRgTilk3StEqLctuHrMxcLx8PmmYAstIP
XR0/2wGUkZo1mK6X7brIAYiVpinPrGCjhVuHhp+69WOhRuFaUd1L4lYZthVCXDSaEy5bfPZry7Zf
wcsQbamGyqOsbK4Xpr7+CCVvYSDZ+TwgrF7pBvHlKznqRxk1wft39dnf+Fl/1JbOJYiHZ1e3qUJQ
BWg2ldb3JYiWWlgpi0A5Jcmdnd6n3otpfdn1/7LO+beXmCut7xrMkavYThFnn1TQE7Zz2VWXQ3L+
57fxk8/qz7fB2pzaEFmI8dPb0PVuzKUXh5cqsknXuZzawzDcghb655eZd9vflB9fPi2LohVHO7Jf
HCI/vpUQDpzhpH142QHKFUx2G537UNx15nkendlNjTpp//Ga/3mJNPxlv24ltl0ONfFz+9ceYv65
rz0EnvRZDAEiFT0Ori+GF//rIUyi2YGzIxMw5tR0vqs/ewjkQHOWG6ntNBjU3TpX7FdPuopdXeOr
/Sax+A2E6o9XPnptintoY67G9Umm3M8mx7aDfAdJWZ47dR/iTRgxi/zLzfXF2P7dNYnSXKVIMD3S
1PBU8X5/vCYhXRhJkjbV2ZDYvxvcPQ2Gz8jQC+McqRAoZnvykF5NZWy7pyiKnEeGDXp65aoWVDE1
H/S9blfLZih3IhogUmS+bcT+FGvsFsGIj2N2DiwFyIqyGxsPpF9506p4X8cI4rtwroe42RInCyI5
H9bQ+rWVZYq9UpHL6KYv2cjjG+hmV1U74IOPNDNsBuLoMmxxiejZzonQJmlD/c6aZFNlsVxlDD82
scBBpGA9XbSW3IqecXXnJHckdQmjoRorHkNb3akerlwDKw4pmG+IoSLkrCbS5vwt4DBAAV+B4lYH
UKFNvSbd9wBbQq7cYpY0gs5ATKq+zPWDYfIc1sziFnj7PtD1u3pgUKDHLbzosVlGo3xtbHM/mnWx
Fkl1LKJBrjzhGCsrDqxlUNZApQE7OSbZbOFoHPMQsX3bGFeZJEZ96rtHJTHWk3QGn1EgiE69fU8c
8kPdWC8XjigBF5gXjqR/qXCRAXETydZWobGyhgyXQ9LBZap0dLG9Cy6omh40SM8GX+ei7JRrS4JB
yvXsVuYetBA3fVJohcgBqHYeNJdT1kptiZB73yhAnFRNmAvNDQ9h+2rAqvM61ky51JfmIFj2ZMVD
MAG0DQQ9RBlq+9rt6lXbO5vJsV6rmPZDjvVF55ivbpNHFE3xu5sziQ9Nd1qJ1sP4Y7+bMW2JiN9i
gd5Aa5JtpBNOB7p9WYb5udebFy1J1GVtojCBVLDL4hRxQd+uY3eW+OPCW5pNK31TUT2wKN0Zaepd
H3bQP7N2FxlYupDB3IRDK1alE3bLIkCAbAJp7BmmTfOgx3OTG53MdES9bFe8/iFVGf7Ho/2ewIOz
tHROFcEybQwpcSAUdceCVIRlmMQ4giz1LhzFTWFa8LdTg0GA46yiMpJcrMNzn2RcPVIQByP5PBxn
ekrtAPs8o8A+Kd5MuMPrvlbv0jBj5UFQyaDMUc9hyypceW8V9wl4LKrUNFo6hobAaQiQS/vOZJe6
3xpjuqs+jNcQbEQAKQr1CwQHcWuFclowouQq97L0LiXvYmfhnTvbhrwVAsj9VL0h7NvFaZWR9VN9
1lqBwoV9NyJfFvOpbOG7xMkDbSLkziBj+XhfeP6wGQHRHXIK7VhRrusu8eahJYXgKshrgnUIGVKc
AbCLV5XLJqNKZDu8DI0KU7txNBsrZ6xL5ip81op7c460OTWl8xi51lusDmLBY00gsNHWeVYBX4bU
55qflKGDRB+TF9Q9hR1uO54513Wh+UmlXZeQqqSmXMNRXdlKeE8P9tS4FiIx9cKTNFSOex4BNE1N
u4bCt8Ru95m9D22pk6zSpk198KDLVEBQbWoy7BAM1FV/cpzSx8qXoSyaVgiuJIIzNn4JcJtAUS7H
tiaXwUv9QG/eGuL1dDE8KM2b1XEl9razNszEyZdBIbExeoFkHp50o6L4aj86907YDxshan2ZhLCd
LLdqq1NqGI95aRKkM5FR1xehCgiO59YiLc2KdtCajE07lvXSBYyFFSW/T0Wzrlv5KGV2T9z5E1YM
40rtrOnMgSfWdSY+CV3bRbXxeQjcyxlF5WVeOJNpUaMiH1jFoneXSpLF63zKvVszd8djmEc3cRi+
IFxSljKl/arZOTG3bvHb44Fbmm30VOh8izK6jeMSSqWh7Lu+eey0ckKxwJQjmBkKFX8fxFvOnqWX
8gwgytheNchdL5XWVW7tBPXHOHpyHhexkavN5iHwmm5ltk6+5W52VyJrV6bd99teayX8ODjgRl6O
G0nRzOC48mB0IP5hm28xCfC0LWPxM2lc1w19NnuuTdLPs24lIFiSOnyytVum9o+1NtyEVm3vPLN7
BC5GFlY4BafvapG/KZvnQu+nQ5fRIIktNmsTh/C4Hw9dWvAKXbDozqVL4o92mbi3Nn818DfS2B7+
+bV+rCJmWzuTQXy+dBfskDTnp/q5gXTV6rKRZ5f+Ob0X4zpS/sU6/28vMf/7dyW6zESWyS6T54ob
k4RTxiDPZnXz//E+PHZWDhUb0umfXqSJ0nRICinPRn0rysOgkLu4++eX+OvXMk+Gv73E3CZ89z5a
xCChZg7ybLo3uVhPeetThRTOp2T8l1eaR7M/XgA/vtL8l3z3SrAKLfp43owAUKcVqN70fZezg/X7
fD/lf+Y2/7KH+qm/+bgGoCdZhBoahseA7seXa8NkmOpWkyxTHjVQmw4wyOhizB8/Pr//eo25Mfh1
r7HDkfw3fQY/87XP0Kw/bJMWA/ul+5MoWyMDmlQpKn31z9CFr32G4dBnsPN1bAck8ZcNxzdRtuNS
sf+ZNf3bS9wf0RzQtUivMua/gYA/g1b+p8vRiLJKC3unPeWpHa3LMotXQ5lTjV3Bw5nQwcReFEy2
b0a9GmFt6VPpW1qra1hdsI1LYudjI7sQbixGgLtIzS2c9tKqMdkNtoDybWWRsYE9hfybaPcsbhDb
BUmPlzzwyuJ5qm2aYKfrvLpYObDNyUe1LNkMAOtE0nxyJhIOJyxMzBrRxwx17zWUslG9SZrKO0ZC
jXbhUIPPldK8E2WFXQ6fkOjK1FqYaUJxLmR/QQrvuEZJXZwcWJfXmp3KF7WwLMY8SRS+9GY9rLNG
zQ+EA5cUg2VwShTLXOPqi1D8QoRduNIYr8gJIs65K+UxLRx50jAxrWpUw8xHmzn8V68/gR5vllmL
WGgZITnbRXByb3UpEBdBJ3h1p8zb9FEmqaEhd2HA2mSKaVy7k0ra7Cyrzjp1MBH9sZq12hatrq2O
p1qtk3UKq4zoeQ2NS9Pg9KSBMV74mtqtALLHlqcC1eV5kf5sTNV0jqYpgXGqd/pLSpV10Ykm3I3s
UR/nHRWBdDrSv4qjf3Lz7rLr0lc+0mIngGvfaIzmsmUCou1oQhPEplJGpzFPw1U4Msi1iAfbeLD+
/WTy3BMzQGubi4IzfczrZcRG+BVNUXbA+dXcd3nZrRsvKfAUxzrBNVqGzjlq0jVp9zQmg7CvKKmV
NRV/czZi8BPIfMoLlIL9RdOkewR3E+gmxV0LaxzepRllW7fKw/1QxgRxkRqlHHHnq7DUGpBk5Yjs
uG07mxBnt9hUIVJkE0vtYrBqnoGT7gX7rFbsexqDByzF+kFX3OqSPz9YK4wPj02pzwE8tXo5ThH4
KVcmuzBGZAY7IqFgrcbrqCYjrW+k8Me4G/ywn4J1g+85/DI5+u/Jav3jk/W2yz7Vb399ts4/9b9n
q0PQHkF6LHpRaDDE+TbDYUWMqYXtMOEKPOLm7fHXPbD9B89ix1HVmcNOTh//9P2zFTvn/IA1gcTj
3/qNGQ4P0B+O+i/PVg3gn+Vp+L489ae6hd2qKgou/dME3Bo6bfdcj4gf07QljqNnD1hnTOjhtI5l
cIzn68nSZLOsi/6cN+UOZa2yaAgphxwuVtw5F1GXHNF50XTo8Y2qpp/BwaVLpezBeSuSvkLqx3Ka
9wiqHS7zprqElMr03n7WG/MRQiwUlMgz10FGuelB3suQYbBTjAjVqon+DXE+xFVyb7nFczWWd33E
frJsIY8Gtn1fC+DoQ/HQctMEBZtNRrKGER/7NDq0ZfzclC4Sa3TotWG90lC4fs4bg0IW2xtm3Xv6
gCdIpKPPwJyY8BZMmcgkA3J5N+pV7YetXJvm1K70xOBckTzFU8X9LKiYVm5mH5qWIUUxpUuXLDYr
da+Ra38WjXeOLYT5ugA8o85Rq4GUJ7fqH/GWvOIofgqEftmUxatp2h7xPTXdLFzobYNMNawgokSM
vpLwOdNZQVWZW60w42cLWZWvUvOOqQJBBG2vxJBtTAhXUIbTH9VLCu5Dy7NJmMGhAP46xYi0gaKt
1VruQ8/bzpspIsfeYzN5c/L61mCZGxjTYx4i6VY5PFy+JE/lpJQSpwA4XQE+hEeh3TdHbCfvWeJB
WFbUTUmG6LKrYa3lqv5ghta12RLT6MbprRnq751u97sxnn/c6rq1aXSPOSkwDeYh9Ov2umvZswVd
m2xsO3sqzSRd61V30iMLx0JKHIaYQd+qqcyw3LXqAOBGeLARLTi4MGXv1lV8a7CDQPpZ9urDmDRb
5MklbjZBU13EASFF03w21Ekwogadrp3Moh+z1p0wxRJrjMtvitnQtwMiXdDSqGq44ixHKkt34iIe
G77DXK9CX9bTDZoBXrVw2Zf160DtbibX2GPJMRaOnhWLhmTkFR54FnucWW05PLpMD6ltqxdVQzBZ
lAF6IbJxpRpvbUHDWirRVi2UZKU4EPxUtdzYRAtpatwt0R14WyhJ48Lo3TdSqw/uUPZIlJPKr712
Z4fjuNKxVvhhPtyVwmLKh7ieqxFXltG+NDPKVq3Rs5vzmZsPtn5h4oBaDSxOwl324fdKcX7hY6p7
BBSzH4yPAW+Y3johXWBsGWv7wz1G5AhOMrZ6uMrQluEw0xiPnRkw4TsbBasnQwzhE1k5fpNxCS3M
yAxOFV110trdkoHSQrXCbeR44Q2V0byFt4YrZBH7IBQxVB6nh36AV2daDa7diF3nqOzURcy+aEmB
mOWrZsTpLrOrktkvyrrE0B9TqarxMSsq0D1kJ2qrwXZe1ZCAxGVqj5i3EYPPE6ggNS1ikmPdCW/V
1smaJz3ow2AVGROOD6HmdvDM0h9suqpjqiMqaABM/l8j8qGf0pkU/LoROWefXt/qvx6X8099PS71
eUWhI9S0bQY9HnCZbysPFhvoqDBG45u2WG18Oy4RjbLcmwm8nmUiG+Wnvh6X9C8InIDYQGS0HYQL
v3Nc0tb8dFxajmPhb9EdBKpzw/qTcKofZW+2piMv24EHAia7h7KHwjrjDzhNLnNNJK9o7AvGsMat
0WKv6Q0luHEd+Y6PbI351FxMM1ohREWpzrCF3CHvK66Dl3oGMQwZwsi+K65NkgyxppXBRvbB0Z0B
DlHlvHRGfGP300M0Ix70GfagV+ZyKKN8mzoV7kSAEPmMhjBgREyZfsNrrWRL5lUtu4hHBECJxOWm
oF86Ike8Q9cFICANPycNRTQ0CvbGlxGE09JhftfDq9AjVV2b8GMY/vTnQWe66M54C4S1Ej8lY8lw
xjSIpYFjfKfOQAyJ6pt8h3ztzbCMFK+B342V4RtpsOHcwlU4wzWCyrzl4YVOwiMUwPA7HBcLMYM4
4nzcTRqL/XaGdITQOizvM/keqxp2OE3FHjTbY6fiNK0SGhCItzyJxyBb2D0EOE7aNzTqu15z1o7B
vMdTo/tQy6lR4OATC8uYFoBICEgk0Z1LNKYnZwaMlPV9CXCk68YLp0w3SjqtZjQu7phdF6RX+kwq
CS372uUTCgidXShlvZZZdqqBm9hATtJhImAbuPIC3/+08ECh5CBREtAoegUjpe0LJBCdhhIBgIrG
WI10dSi1k3ofM3Fng55cTEBXqqE+VUBYwpnG0oBlgcDzPIBpqYzuMIBtQRy3VsG4oIahiEmshTUT
XuoqBAE3U1/0Rrw7YGDUmQcjTO/I13SQiYM9MFkF5jv+Iaa/vB0JTaaasTK6Gd+UETuZBF6PCnlm
SmiS66J8NhAOA2sbl8U4fDI7rBJc5BhpQ6BkwDEOWp8RIjI9eLXBgkMvNzic9509bku7/YzlDg1B
ZNxa8HHCOIYuFIizpsp2oaX9MIucMBApI2de1BFJZ7isb7z0Pmn5kCbOQsxRDS1yrl8DSvK9KscV
OFN7mhngE4QyPOkdRKPmifxDg3vuKQc3Xc7sn4izfDG1JqchXKBR1t4uSOeMCKcZNmaPOk7tpLns
hJb440wXisEMWQlktQPeyZas+yhIRr/NcZjd9dju5iwx3FUMbjlDbljHsLNTQhILzGQGl0Bw8ix2
F2w9yO8gDlX2q8xNElSO3masZLNSGLqtWlln+xiBto98TWOAZzyVvZX40D2Bv0dc0oUE1R+RFAAf
mGibGKur6w03bjXgHI+iyyGaPut0iLEI3RUZKGuVCD1SkllXcmCjdnGjVeqGmK2c02CaC/SUy4nY
3dgq1iwrCAJ2o7XdtrvYZU2Iez0bynMWd2uMW0QfKc1FWTUV+fHt3oyK8JSlw11q2jd8utqG/L9T
k9TnQXR3XuqBxTKLZRjIF/aH92XJGkB12CwGAkEQiSOClB+cSfG9FbG4LKc8WrqGBmy7x0uDUXuZ
RtlBlVjq2X4vh5hqSaCWqRRcz7pQ/NpI38dJ3FWJc18JzvfafMHigkEvdzCleHu7A9ljisiYpVXa
YmxDZeYvv0BbuXb14sCXhw0moR1pU+cu73vJHWK0c44BARCouOxJMeE9esAkUjZtLTfTyK3nTLzP
SEdR3vdEH7bXScdTQNf2aF0vKFMPqcUqjb18S2gCRLCgzz1iagAldY4LYhr1FaVG+6bMaTWlJ5J1
23lQqSr1hA5R8fusw1ZfaLDLgk/KmB+idLpTRkNn0DBiSxXJzVgNAxWi3FYNPnkcLunKCcUraaOo
5LEok8lQ3LFNRL1ZvcaT0yIzU/Pboai3SqGDZcfaGlR8G5kTrEkHgfQduDw25M7Jq2AV2B17N06H
qn31dIkcKc+41pqcwdgiQ7NT72tVG8GkZ2Hh05Y06+aD1qh/kBv/q4g+KiINwcKvK6KLt/pv/DXz
z3ythzRi3TSbwYHtYA2cQ2+/1UMqCXI4byzAFwS1OQwdvo4PZhn5rMvQVJflijNLM77WQ+Yf4OEg
7sGRsRF+48r5jfGBw1/23aIAWIzHikibaTY2FGiUGvz7d4sCSoRQ1bjET06DyjKFswXZK9KzlcOp
s3F691PDQ3ot5oRSgmsSU9nnjdtx4DuxnjzFOj7uyygoO7HDUFHlbBoTtNxwvzrnXLHtludCVqfK
SONbjJegk6jTHeBNU3PlQp9/NlAsXo3FiJBbDRj4hqzE6O6KeUasmxN5nx/jLmENNXLSQMnBeGkf
ZT+ys4St6AAjCg+n0dlN3Kz1Yoi1ff6h/g6nMVUQagQJG+tZIO4ZIfabWTQ+9K29qmcxOeFVwpci
0DZ9amu+nEXnxF7V91Mfddo29UZ78o0Pqfqoe9PgZx8S9sqZKTqFWSmY3itKsW5sonJV6SXPWdtG
C4/tGln8LJDXqihtb1Ij49izidu7HHQ70jfC4f9h8ZaPkzQ90u0AeREXNkSls4NwYaj+f7foxy1q
UuP/+ha9aT8VzGM/dc1fG5f5J7/eqDQuBrcarcnHzTjfcv/Tas2NC/cnG1UDydbsQft6o7oEYaNs
Iu6aHDnGHPzT1xvV+WPeiNqzgJHNDCkiv3OjspD5+U7FT0JjxfMAkLpqqnNj892disTUSOshKy+7
0QaEluiVlZwYDM4Xd5tnZ4d5UbtEx3+ysDx3kYtfGj5MreeIhgBL5lp+EHr9lI3lPmuKa/JAVq2C
uMdIaE8s64jfOl2ybtiEBsQBHPmHSJUPzPbfPvxbJZIYjnu7hD0yrbWcujCaOC2RpXCjdgsjY2jd
drPhyoUya/SF9qJT/w09oUVrGRKLBB4CYgBpZHYbblJNQTVP1i45OflHZg5DKPJz7L7aOTGROsKh
OvhI2TE+EneCj/Qdzwsj81AncfOUyIDo1N7I9XXf9QnYji65cJrCTgjdthrpg5ICSNy4dbJlj9Kj
iaxDVfgEGyIuzuTw0tlgqyR6Igc+PapXuXF7r95UsQ12n27FkaRCJW4m13B7mf2rYqmjggboGPti
gmYSeYZfBv2drgb3Sj3tWke57tFeFHAyTZzfFGSHQVqX3hwK5lb2ss7067GJP1VKeZF1jsKEsjt2
TlHAkKy2LrbnRe1p1z0ZnCR7+kUgTu4stTcg1ytyq8XtXtr5lqkv+ZvFKdeHU1fWL+rYXHusK/TE
vku9Hmm7sw208NKO+mYhsuomq4DOFXM6lrqRVnNdt+4KnwZMF/Mhn20lHoZHt9kD8GTCkxu6n3jv
BfhDM7NPhux8WbobZF0ARZtjEDdnQiyfKORWDlKJStH8gtywqcwvgVeSBjWdiga49aA/TACf8dfT
ARQnEpPo9wg0jKJTEpSnxvBolxjfte0+sbA82+qzbiVrN26PFUOvsHQTfw5bCh30ITXgwVzbuPZA
y4JluPPUU8fIhwCuU23rV2KkQZuUOysydgw1+YaJjsMdtGs0d+ECPfUC8eZBGe+L7MFJojt2Mtc4
PtZBZR3we62pt05q0tOEjtpBmjgt+CNgC2jorLUDLdKeE35ZQ9wMHW2txMOFHKJd2UCexi/yVjv6
NWTD63qk6QvC3rpyLExJtoxOdmAeR0vPL+tMTXYk9kKbQVc3C2xgetDviksiW2hbuKQ6z9xlfaOg
IZHVqmq8z2M4nNSB3iw3DsikrgbB4TVUqLVwBK0MIZ5BeXL5GfaqqoLNIPpxrRgBS0+CvLwhWrN3
u01l4BuKQVqqibBRZyFIA1dgUc3NGSsLiJruAUxSpB0D07w2azwYYFAQJQ18433inZNK2TQAdioc
3VuONGWpNE6yFoN2bJNukwbh0kK6rsqm87k6+LZ00Ide15xFENF9mg3oODT+0dgQnBpfmkF6MISy
0Qzp57Y4Vfo8eBD5K44svoxJWc2ykhWzXj6s1r4icWtHeW9wbqOFL9IA0+c0tEiIOlJHdWbb7EAX
aOMOeYwHhbSSZa6Xjy1bGDJfCORR8unUacYRQMRn2xAEPrs6MwycRcNMpS+S/hoGyz29+V5hvukq
XbbOxoK5ayyPrF/GRW/yBMBWVC29qiAJTAQ4eeNKrNFXHUrBqhRp6mWairveRrMYRcNtaFtc71qM
x7ddoo28DDI+mkiw6jXq5M7r82IJFN9DGKvIw1Sy5saXki7/O/u/lOfU078++y/iIvybY1/jh74e
+x82TxOjpqbZIJt+qs8NjQXbfIpzsrNY+3rq29QD/EcOA0DbL5THr6c+lftcsTuEQlsOUO7fsr87
fzn0PQPgM5lhqkkKGYTtHw99LTBYYFWOdYomYPF3TPkzrpdizLVVFClMyl1c2zGx66nxWH2ZpTNV
VxWDlc88Z68/Zu7tx/x9/JjF52XNfunLhN5qKKYxseylkbEyLLNySq9KuHUV/DrGis+D1Fvkn8Zp
tAuxMgtgd5Mz8DwW0UvpYIjWZyQeynIyIdgDDNDyEDyn3HfpuJKQ9CIteGTZD1uvVBOwQdkHcy/N
yOHMZxBfb9VguFYRv9Velt3YFkdTGclkZ5IVm3GAzyiTPqGv8SIo+upFT6bnsE/sZWvnwVKrCuwy
6HjLPNmKRNkyTGkXQ128qNxbCB4CYzWZ+V0cKq/6sSrGY0k2xGAQOOxlrPiCLLjVhHuVl6rvjf0m
ma601r6TffOAP8w3ATx5x/9uxC83IiP7X9+Ih09N8/Z3nTI/9d2dOK/RbWLccLAwSvuhAGf9DsuU
+f9cpH8rwD/YqWwU2LNjp2DhwDz/663o/YEFxuY3ooD8soP/jU6ZMv/nAhzvDosNi6wkk+CVj83C
dwV433kD7kdbXo5c2aQY9wEGPshUI1qVOIJyE1y0U4qzakz6Pr3XOg1TIg1+3O6qKWauTL5uemgQ
nU5+MugtEFZZFSUI8QLP0Ct+anT3GVEXk9+GdTwCQ6yJjphBrN4HlHVsGlwCeK6AtQbjNHlUcx8U
V6RONKPCDvWJ8vGD9zqVCA0XThcOmp/rYT35pqNBmJi5QMheUpynagp2u+5D07rLNMDyjNrrHQ09
HtAC+uC2UvpxOxhjl7xLwx3WYYJ4yA/DBNkicH8GtDDH9uRsZy8xcIqVRyqashirsfeVDKlUn8dM
7iNi5NScPoBb3XrpLfRL05SjJlZHhUm/CM2NNUbvtlTICSzc96TImHjmYe47Ff9G2hfDsr4DTEOu
yUUUgp1yEWYx/M+Jkm/BRaCx4YZ3nHShw2eAAKmDWapVhVLKwoeojbG6dWv88XEAcUZjLckGugz3
Va1kZ3MkzyYbNG/jVsVb6kzWxsiM0MeqaW6aso19lYZikYYOQEyry86pisKfIeour3p9kQshfVcB
Oh+6xlsEJ2fLE43Los8MJuw41jGwo8OwlZeKAmlrT1m31Dxq6aiu3x0ZBHB+YtCDedI3OFjRTmSt
7myIHW/2nqUmpF9HyZG/mXVHaZekefSk2CaA0kjNmzfb45XnBWzBvTL3m3kKDnsUllptuuwGAhBE
U82f6RqPWUFkciiScFHXpooJlP1HSYIb42VATR0a5XnwL64wFQAiCWV75cTsx6dRExhiRgT/6JWy
NbzgwW/6EiKiOVT+oDkdg0dY3MFQpFuN6OAlA5d8+99j88tjEynkPzw2y+b//N8ifMve/q6K4Uf/
9+xkyggoh90q6OkfqbwIQD1kofgCsaHh8vr27DQgUvBQtdEk/0mr+Pbs1D8GkDxWmW04JIX81vBi
liB9UyOz6WVcqTJbNBzSVEF6/iRRSrCDu7LwklOX+5PlkMawMcXDdx/M+ctv+6fk0y+vYpB7QM1m
6i6g4R9rJRHEBDhODEXakgjjVemqRYS+YXSXAeZ4PzGaGs2erhG9SrZwRyjDMpuCix482bVaRVdZ
TEqAFcUkDKvdStUUaAFux/Rdi9WlGkY7qee7ro+Oce9tWQIe1EleNfhexVReDLVxyex0rybp7J4H
GZOowls78+OFNL+Rds/7TCwlHULKHjNpSTqF8PKOqqiGmWvD9CHjiMiUgJ8fHAVEJLsgey+VKd8E
cnCY1TTwjzwd/Wc3cWqkbYE7STfvA8NzNihhjGc9hyusoNHexGoa2X7UiSrzWaax5CZrFDoeANxt
6MGx3GkGcLJFb7gn0rjHYeOA4pxHN6i0WqMy3PtJFzZWNz3b1MpkWxutlJhDlpXGoSuWnZUjDoI5
aymXpL0qR35/BUgczMXsmCmVYuOWhM7bxCVxCDBQrh033hqZme475EfumddrjGdrDB36wrHsS45R
47pkZjOcI23eI4Wjd+HVtrPHVRU+qbZmPpBOznw6G6cbsy06c+eivyVoUkcMxPCkD+wl7ad3V5Zs
xmymsz4cX3OlV0O0zDoAvyIMx12vWz35Zp3jt3zmB7CUzacmCi+GEXDZOLjkb4t4p2Bv8pnoU+2S
enKNRQ7f9pj5Xql516hTSatMoOO6o4eiucpRDafmqi81Jufxg5tb/YGvrl/ZIp78uqVMhjRAEZAN
8d4mDMV3WnLg2zbTloUXzLuqXiebVPw/9s5rOXIj7bavcl4ACvgEbgsob+jtDYJkN+G9x9P/K7uP
ZrpbUk/M/dwoFFKQLLJQmZ/Ze692axvDjkQMzFyT3t6EVaJxw+TnuMjO5GQWm7yJb8zS2jsI9VgC
ZbsyhiISGup16453xFgMD1h8nE98haQJpL49TvZnGfe+lbd+GtTavar0m9DuwJCU6dpV8k3qoO2Z
HJJk7OpL23Zfi7j5OjNUoKiWo7yDix+cuBv8g8vWnNTz7Ay+4XY7FhSnBdscSqp31erPda5sslHj
/iFQtp8/SFDi3vpAXKUheMsMbnFgCak1vFg2/O/FNtd2m7aHjiEhiQHLSc8hqYb62a56f+zTl4q3
r+3gwxWOWAeDvQGCsUM48DIFLVIpKDXIH1cGEb0rrS3UfWKR+6TNkY8O5Jrf8RatGiKpeAl9JBpE
bQ6IjCKTBjsK9JsuA2011t0x1Cce5k7bZvUE4irgbnTy+ejyIVJLQSJzg5TJOTmVcTKn8klZOi+1
xF2vhzdFXZ2Qj3uD7p7yfriJ3PiQ6dVaD0i3DsMJomyKZCMaIcE1ZemFjXpJlfS1TLVXplOHuE2P
ZeYc2E/eLKPmZ+SSlll2tswE5WI9HxchqMUoEhxSdutU7HqX5XRDjESE+GxexoNTLvO+XoriQE70
l3wOxEqJCqSfIaITazJStr4VGjqcasus1Jvfn7xkuP/1fGeF9c2yrPJ/nV/O92jWkBfYGaGDdaqz
GXVnPGRz6kNBzk5dbhAUNBCai8aFqmn5qlV1e1PXqXrvLE62KqfpFtnhSZ0CP3XFkzp12zqyP4s0
CRloYZgE0ANPaVY35cIznaFlLQOr9UYKUlbHiPyF0+1Itnwn7bv34qR91EVUrzFuoTJTcVFmhTfW
WIj3WpWKVRcUWy1ptjpqmAy9Q5uLL3OW3+HfPaATOS5tdqh7Iriq8kRohrvtxpkgwzne6eRVeIB5
PTsgETEyk23IveS3antrzr3mVZF9UCOXzzWbJry8GuOzZnpI4sFcuXaPdHLWr8wYsHFt2zPr8vQ8
VMslapN9OlpbC6MhKMF6HxSMEHsHAWCODgA1+NoKq1MWErArCv0qziDT9/mOew1Lb0VgdTm3mzJp
rtIku8WlFa4GQI2+XSixZxCWFDTNdWy0g58vbkH9lzyYs0z2meI3FhvHGPLeauIBdZplw/RKBgyz
tcrRbWgvST77uQGOxjV3I+eQ0QLQcMVJrdWBsE3lS6DZy6oil8TukfKg0ND2SiXPsu4UC/tZV7ON
qrKGJgL1Zc51zUvaOcXqEV4Zi6X5hPjJ/PjE2ZFR3D+W4KiP9PHNOaOS3f/+UWXO82shgk+GwY1O
ZDV5Cb+UCAmRelg7crJ+0aoayaHR+9Xvf8LPAxu+JWAPzcBWbxF0zKrml4GNYS+AEt0Q0QXJS4p9
FffxLq5um5HJZJN5sV2TI7T+/c+kAf3p9/rrT5W/9w+taV+lXWUainJW5+LO0nUGnvwLt+Iz3d3M
lgLLROdYT3Zg7NGmpeDUScvLilEGJcelR07Wc6mIU9yZqodlepO5o/buRGSS5GryYDv56IfETInM
fLGDdDpomWH3PE1Fue4XUaydSql9rcLQSSTYvO8nYbyXBXhnk14PsWb8kfGsrmvVjnxO4NnvHFv1
aKnvejNbtpyHD3046Ps8JBVg7r4Qar7jUrpvm2ZjtyNYbivZGWqkrBOVCiUbi2I7L73q1QROk3Rk
0ULF060eFQAeYtBwRmiviD898tB/1u2or9oq3jemsptH835acBer6cHqkPES8BLSGhrYUDr49XZv
7dMlOWKl8Ys50H0jU/EKBymnrPo0qOi/4yQ/O9G0LZpxPQQLT7C6Trswx5BS+WVChle1JI7fZMG5
IgeetMCdVtoLivLpjp01BVylAKUEd2AYneoh/NgqFfQFrS/f7LA+N2p+U7NKx0XSrVrtMFhExQ6W
sRMFepdK0x6KGRBnQFL50PQXtiYmIeoERzbmV6dWey9g2VFb5jaszJMY/z89+B/Nft9yIf5dzv/1
aaOj+PFpG4mzGBjPK+fkVFyHF2VTH+tHGPJ7a2efHK4e70MfV9ZBOxev4/H3z7o0TvzwEf7zhzNz
ZFyrI4yQH8AfHnV26U6REr14rnwSwU66V22gzWhH5UlsQCo/XCne6WlYo2If3vhHdplP6uoQb4IL
u8X8P7yany++7y/GQJkK19emjbJ+UU/M6pgzV06iS6ReV0a2itWnZvje+v7jn/vnM+uvP+MXwerS
5L0SRVnE5fo1bHbufPP7v+jf/g4CLLVwmKMx4vr5D4qSfFEgsXF5K9c1sLfGoub8fkL9z14knYz/
3L7LvMlD+Vb38d+MPuWX/tm+oz3AyKFB49QdPj3yXvpBe2CxY6Cpoo0zcRn9ewsBiYcZAsG8qkb1
9dPoE2snaUnfvxlsM+u/kh78VSREAKTLAoIxqiGpor885uTz5tNkzs3VrAw2O0u911hgFmAW93Yf
FVexaZ/jiAWwzcITXbLFLpYCZgnVWyMwb9Om/1qqVU2IW7RnNnqMWJ8OKGFTXfcU1qoZ61WHNeui
o4EbWLwiNT6pGclYBitZNBGbIBSnllUtQWY3nKAPYiZ2jN2fw0rXYdTVsOJlVbdPWflGIKnw/ZGS
7USPeKFYY6o3c5pdeuK+B5bG+BPYS7JGtp1lazWaN8bhg0WoicJvtM6a8d1lAR24KeY845VU9e3A
groIbPAB7nEwa8LiootbTht4uh7xiKyh0WuXnNwsvIVp7SJNu7gsdpW0vEq0hI+Wtuay82sW5pE6
vCCouI6i/hyOszfIxToLdhLiLg19Q+p+to2rr3O5iYf2cMD5+Ma0bhWzqic0fq+0rs8c9TYKl62C
PJWSemVXzR1tfEu8THwlL5yUGBkNMYDV5rsFcUDudO8FYgFiFy8R4oEBEYG19AdClXcYNnFlVZ+E
uV+Yfq+XwKUHM2+FVCM4yBI6qU8wM9yoUrGgzZz3QfpmlOati6QhitFroWW46hE7AJrwl3AgGhIb
JmKIxKXoRhxh5vNDiFjCLmJtBYUGbSV60kgqKkRen2OpsbCl2iKb+8AnC+hNfFNi1BODWbQZ4VQ9
6XoVrcAFvYMGocRtvok5vs/Tg28ij4RMzD13epNcmcvCniox7cLYDg1gclcbefclAluBhV3WDHZw
Y96mZVcdyMkfvFayszV0V+fJWqCOEOPPYJiBBnAB3cdSldzqmr5NdUKMLJDcSaG1cvXlEBEMEhYq
BuIIyfBOKlGvO8n17gWEb1LkLb8F+h2bc+13LmjZwLDTzdLDBi8rsj/GsH1wmo4iwu4Z8YASjx2G
KQtzd8kYdxX9XgE6zkyDaYN5tYD+NIGS1206+nIebEIsjxfz7CTdkzLydeeml0GHs2ScV6RFGmDP
Y4k/L/PHUfLQK6mfCNAXeoukpSeV+R6GHdF8kqRetTVgWtO9MP4NV2JKvrik4rH7Ro46DLDYU935
iqfttZj1B0SKX3n9DI1KlaxPSXI3KmqkSNLdrYJih7k3SJZK21Ug4EFAXA0g4SkoH81p/sQZdEhA
xpPHHYNC6dcxMPl40dewM+rLHIz1hh4S42Cv2OcSCD2rRLgEbioJnjJA2iRaY9SK5zFZ+CvXIDBK
qX+fRnDzUVhsknTaBwqZpWBvSagZXgjewfvcTVexKt5lnOZkEsDdTACJFmGT448PUKCkCR2cY3qt
b5wqW6gn9W1Q6s9dzU6DYwpPgbWPCfuBcho/z6HBN1fMjzioc99Gy+f23btCKBEzH9q8QPXrInjC
dT14M8byRadyNaHzkoZJqFHX9Kulqe4B8GLZS+Z5Pdm871MQPFN89qugCgTPl7EBAoIW2h35iMbp
7JUlH8sGSzgvD6aRqk/bIQhpHC0MlmlMClJe74k6tHltw6EC1DvluOOomxluEFwTqZeoGx4LVT10
I610pjB/jNHyr7CGn9JIvRvD7mgV0b02C5XYINsvmoRGzoRTZE/KCR6TBpsyfSCbF/l9DlcoE6RY
3UVRWmyasQ0jfKOwLYeaOldJhmhvgp6Hg2GuCtVRtirZwSsUFqgj2rzcTL1+aNP5ppLgP6FN2U1c
0mx/u4L/V4vIOv2fa5HzGwFfVBy/gMblF/2rCtGJteZ6okFmlYAq+IcqxPjjW3yDjdNZkzKJn6oQ
He8zG1bsEcz4f1jAij+khhlXFxnSpimt0//FAlb/1jv/u+9Aq4zcgg2xyRKWV8E3/LlSddhT2CRH
L1ckTj7W6A2JUp9hwFU1veeSb5za3hIgurdmhQbXfSStB7NuTyRU7tr3iQOTt+z2eZKsSR4KWl8I
eG7rmMncQ1a6ZE3o6k2oFM2+oyAAQJUlyruelewZC80YoqPAIzAR9aXCIspEsms7Jnx5n/Q3alEZ
0EfsuzGVfR5INWI62aIVhl9FS7qqp/J+npVHooYejNLqV6q+ZNg5x72tzACRnYNGVBuMro8GT6aV
FiP5x+ptlejXOJ4e9aHFPNYZrG87OTFqyJoLis+5IYwhgpBOdmjoY3YkwlSfrrpGe6uzhEhfaiyf
RPkv9Zgvfqcy/nQnZx2qHYyfMtI2KdEgJCMo5rwfp1LxojE8alzkBkdTr0XHpRce6nAByAeTr6YP
x2aoniLVfVFM4nSdzLhJsYd1FnFQMcEHTbI8dM2IGlOrLlqArKsqP3VVo02Nb92+Gtg35KcqzPda
Pj+mbX/EVf6pNtbsq8osPN0wOAljDBuKknYoStNd3SpknUW2p8wAXgKd7taiBbzS2TOzlawZZXRk
akYl2j9JRygTBvY5u+W1k6bcyhO4YpTvH9EcHgpDm7ddkKgroIle4eh71Aa7vm/QZDWFZzCXIOmj
qSv233afbzuLzLcVXKW90TVe21rnbiI+2igpW6Ni2Jhq8J5y/6TZBJivn0jMnd5Cm4xZvqdXZi6D
XBx2YzRgBzKUN7UhZbEZSIPWUgaTrft1TlPnzMqOy1oFz6f3kQ1k3sDWUTR3pKmaF73Ly6Omh/Im
Bhq/NP2OS2shEy0z19lAZmyOJpI5X7fJeP4vPUssoZh7pW4fWe7t1F5/HAcUZ2HUqn7X6hp9sJ6c
EB5ABSOCYx1ZWGuDAbZgMSWmR9JgsJ01Tb1Uk0ElogNfi9Nh65oVs5PwkKdtAKdCf6MlthBGzvGV
MPBs4+vczE6OlhPNHjv3DIdO8T635UYf4ucyhIHhkncWwoLHWTRnVxjlV/GUb3841P5mDfhLNyvT
FjhtqFzwU0gLhRRx/DAeqAxcndxj2lWW43n6Yln+fxwi/s2PAOSLKgwnJI2X+kvDPFfh1CYU41dp
+96n13N1X7in/91R39fdjHN+d0d9+dq8/c0lxVf9eUmh12PgYuAS1i3eBanS+VerrP5hmRa7bjac
uIUR3P9LsCf+EPJxYMJhOAjqflQJkdSBss7BDWwbYJih1v4XlxTmWh6wny4p2k3pCDB0Jv+qI1/E
jw+gguOq1Tuk14Gbs/4F0ta1VkFz2lyMLnuqUmVVTZ1LkMN8EBLxVuQho+5+p8J+MyUEbnQtJolE
dKDOOE4l5LvFTUj0HFATwZCT802qbVL08BQ/UtYig43J+jfj6kPrKwAxTn/penDL2vBiQ6nToNVZ
EltHbf1qu5mvsGx7ZPSt7gq2HWE+Bp4IrMHnZZebHhJeGSvITTT9Ba5o4dcSlwe2C32KYpsb4Lqf
w9h+xbgDqEpi9pwyqTy2kndlGt2AIXxbIPIpM7QdV0L6SosNaKpYB0sC/HpAWURDRvOqFeW7A+Uv
gvaXI8OklOVX7CUKsK20a5y1JLyH5xJWYCKhgUljgayJ9WsrSa7VwsBAGVMDjBI2mDGN3+Kt4YZp
xw+od2QjaT1B65GDZCXigkF4fY8Z+hrVIdA5tav5lTJxIo/0roV3yCl60xZjs0kyJM4KTMQINmLU
TUduStUTZFvLmO59qJFbEZY0xigES7JNLShocev4YISXB4C7xc7lgifKUiReSDbqAedVsoE7/wU5
1XwIh0jz1EIN8eklztYYHWVdwXu0a7iPplPh8wuCm1lCIaO6czdzyPTZzfAmhhIeWUiMZGkr21Im
WcaCpU/9SiA3uLkQt2ZWRSxzQ0GHB5dSSEClCTUSVGUA8LImvlOAsWSP9EEfCjdTIi6JhcrXmcRe
TvAvM0FNEjbVmXhOKGkhMYnkWW2SGGymCj8zDrRuPUikpq7XtyxKI1/o+IATCd4kL926qBLG2ehz
7oX98tE3qkFH2dOVSHhnIjGevQR6xgloz2V2ziI3Xd+Z7K8kXxJ76WoX/LPcxh2PMjvQibT9GNRk
iI5DU+y7ApLoIMB0xOwcV60jsl3XToSEhuOdIhGkaM0/kHxjjc4JnUjDwvFViSytyYwJVCCmtZmZ
OyUn0j3R39kOcl8CPNWn9qzkiuSjO9jLoaIuUf0+u+bMmy9q4Reta9+oM4bkAzHzmkUfZFH/Tc1M
STDCho2eppDPvJ46JWKDXgXuN21mIgSuxZi/jEXVQuVj+hG0HcQCa36c2E+zSRyb9YSv2hnxh5YE
1gC7KyH/9ON2zJDnxmXB/o6+TYtC+0hgcr2qwbuT5F3cw9+4auwKDojbwkApPuOuvtONaF/oznFw
IPR2GNKXaKuzaI6U6KwmSP7LGRGYmSGfyBvzVi0hFWh8X6nkPzoGKgmWp3sia/U1WpWX0Q137Wge
EdR92p3Y0KDJo8nE95LPh1KZ33S5FPmW7lJP3UhwwmAfCNjfOFM4AbtORNc9FfS+NHhRZS7k/Dbl
nTH27SOr35FNvg73wFbbodkZsWO9hmlpHcgDysLrDLyNs+9qxXwNQlsPzokVp9sce4Hfu8GTxiZ/
bU06j0ZACEPA87IzS5AWjAOgDPPcrS1MuCuewpcejMiSUswjq9lF9hKshHSZU+qT0F8GN86yXE1F
j4E6Z5KjkAGc2SFrKaa21LExx1MKXaYPk8+wETeNrZY7ZbQ2M67HHSHSmScqcYsm4ks+D4+1BQmQ
T/HWCXASumQa1Opy7ZrxsU9ny8NF/KZNnONlARcbsbU2apnXdUG7qzMl5lkLruZU1b25IyxbIV5x
VaCuTPeFpEG2RvFGYEW0NnTqTAEyMk6Tdx2EZJkwzwApWcB3WS1AJrFy8DnMEEQKAJR09QU6G5gv
joWiYtmyndwqg3MFHiPeDEAsbWCWxFKygMbILMBc4vPSVpokX2aSgSny8S6XVMxI8jEbScosJDMT
5nC+SvQYnyVeTOKLtsagal4+ohPU7fo2TizUqo04BXjTyhYuZy0JnTQ393WkX8wIdqcVQqxtGpoU
UTziM7suwXwqABZxd9hPiTN8JBi1t+OUHUfJBmWHeQwImrZqBw1jfDVLiqgOTrSSXNE+qTaxqwI2
daAnQx4FTxp6tlJqqx4saUH+m0fmAuOLzMcXeydccn80MKY2c8fNKMmmBoyVRLJOc0k9JT1h04BB
NSUPtY8hbMQgUsk953ymM0sHiNJKfAc+joWA2OuoKFPgZAOs1VTGW6jkhTQSwyrgseZa+DUhvcmi
XS0V/m8AubUbYDhCcs316HtV/L+Zh6Ry/XM9eRd/bf6unpRf9Wc9+S2vhvRaikOpHZSV4b/qSe0P
1SIphl0jikKX5Jl/1ZNIywV7FcpFG4fGT5gvomwYkaAxIBpO6tj/q3pSly/t53rSFLqcyVDxUvcy
Z/m5ngRSn0d6GatXBHxigsgXiap9LcMvKgsWi9FqYxen2Bl6QK6ufhor/ntDKIqtFVd9XW0oU265
jV7bdgGbpEzbNo2ei8ba1vK4Kpxz5eKZaMULSXXkV0j0t0hh5OEGD1suOT3sH6qpuIcqiErYJa2x
5qj3Ydq9IHDyccccrTlZEynytkRkzSbLs24quKSm7hBZxRoujPDSJd61PZFxSbE8a6HYjRHRyWba
XU8iQmFSPCxOeXKT+tm09XyVWvqnMhZPddM/phpHttkTjO0qm0Us1wRfixW/2bZyMX6NNNko7G02
9OTOi2Dcd980iDOpM4W5FbWyadqBAyp3HutRn1ZVN4NWRABPnJR5TFSCHJNR2RFxQeQ8ErFdr0CT
Mqe9rg2rsbJvx6q/5XRrHjJrfssqMkPs2jmEkfqk5tbRUTl0KnU6E2FGxFoolLWVFLuORE9v6vuj
abZ72y1hDwXWYda+ALJ6DYP+YXascTWbiOMXZ3xNVVJJsto4ZwKOsqgIU7e0B+4ozAGqiXPNpH5r
0SmQXoQibZp3aGi2DuHO1RCf+pa/WRhmpj/OYWI3qzTphuaCekCL1gGESiYZ6EwBOmEqWMxK7fal
g7+lk94Fjc4ggUaoNgLwI9UihiCjc9847nGHdjQOvp3iPgSFPs7QpvWy8efMRPIX1ahBZTRNX5OE
VBofRYTqTwlMNBMm2n7S+Pi3ETDT0n7YQW+SxF1/yhneagZlNBfMHYTMpwit9FYsFfISQ1yUiNu8
0yu+By0BiWrP2WS+FM40MtMb7lhngOBFLuGbtfUlqdpPfZ6+kt6KOU9kj6HNVIEox7M6kPSWAsZr
mI2AruwM5PsD4UdG6BtuujOj5sVJrW5jUJaurcB5mTvJWzCR7dhi/NI6SBgKPMI8OXRrOMwdT01c
WrVQuYQv2eAXIRMlliPm1KKs5HmBtEWu+dFGmpKU1c1gJJCJiF6p6MxWdhlKshgCSlbsIfdZUOUZ
zOpg5WjjExzzG8AWHsDK9jS2L0TGssqb8QgrJPdLqRJbI1WkviK7J/L1GJBFtDjNRGzSyDsOO+22
n8twn0aM7eziwj7hMBXVJ6qtxstYcagbdrLNx//mFN/mFHLF/Zt75a3o3v7f6q15f/vb64Uv/vN6
+TauEGjvMQyxw1fRg/3relH/sAWjc5yFHPuEd/77erH+0NBRIry33T/znP80NUGUsREKO/gCuRD4
tv/VuOLXy8WV2SPIBISOZM02flWrRZoydnNuXqL8dWkv0/Tyw5/lb6ZxRLf95ScQm8AshNEK0W6W
kOOSH+ZxfdCaXWBN/aVfrDUL3M+5Mi9ZkNxaTffJpJosxyb2c9NghK8Ue2Lbdk2drHtB+LCt2OW2
BJpdCBJxWvU+6aON2VZfFCT5aHJPLLomD4oCkUBRdqUNmoWjeOhqYBhEm47Yejlc+CN6Fn7beWOU
89JyoFr7SZKqRkslJJgUEX/GU+WbkmiF3D1YASfI1marIysgRec5kQwsNzU/+ggVdCf5WJzb9VGT
4f2h5lxR+CvrDJyWK7larE9YekrWVjKN2srQ4W9pksQ1N8WRQfgrqocTGj0SlGF2kYtQ7zIwXoXk
eTWAvQIAXwagLycKDaxSxauikueDm+szTxVS67BYt3Qom950fAYMdyKB7K1We6N2uUeUHQGKh06S
xiyQY1OKsHiBQRYujY876lAL8RZoA2lKLDBQb5I7Fb91kmPWCnNlAjbLwuRKIaDJKkaqfP2lBYDm
9oLcZetkSjJaow/njJBSm31DU9U7WzLUStN9TCRVDdTudSM5ay3AtS5WX9hwd4T2JwdTMe+Ru2PT
kpQ2YzHvYsltiyTBrQflNkummyXpbgGYN1Xy3krAbz0AuBEQHO8FFq4Clid73QN5855rDk9maXiw
lC92C3kDqByQzdtIUuZ6cHPCHM7R2OzLeSS9O3mKBhrVHEAdgv4TnoQ7W5LruiR70kHZaYFAINlv
ShB3zmJtlKl5xQeHo65zt4rRvpDK6TPXmLbKvHxJweXNIvIa8HlGOp0q1MiUJejQyX3gmyIcXpkC
PCb4PT4FTFCSlzAI8FiwNtoofc9jU3/OoPsc5L0mKD/ZpCqg/Vr6UiToCWoF11Ot7H2REEBJA2SJ
cSIiJt1qkhRoKuI+Ah3Iih+GYBwm+Ozyd1fLEbJI0qCzCOsM47E4xLG9+EoFXR5GXuKazwT1ISvW
Gwo+SS9ckvFOBWeo9LRyuiQcWjW2FMint5OkH/aSgziEaopBxGjhpzJnI28uWI+AE8NOt9exZT+q
kqnoSroimYDDOqKrokmrJH4x/4ZizGcFpQhi6PgyNbAaa5SLPtoCskPSKvSa70zHMvJNRoIoShR1
3S1muyokBbJ0bNIE8l49Vjbh79Gsr7q6OXZs8iuzAjLboyfB1EI8uV63OxgFyTqM+xP+STrmtELy
jbcvmBZ3vUw6TaCZVeuyq0vccXF2JTKVIMRMaW+Wgd84CKoPa5kfm8B4E2m943w7JzSpnssIlvpH
OQUIQaRcxALmaE1ex57wjsGfwkdVBNlTnxa34wD+m7Ezim/0mHrmNYnpE9Lf+2VVHJkpcSBqvGgx
3hQ9EKWKqSJn1CEEqJNBJE8GYLSg4thDbiOL4U2mPqUoVQx4XaMbZNtiSl/NJLBWbSznoIF91DoE
8oEZi/dqRFpAqGOLuJr93z11NIu52NgaokQUviBMjZwFeGQcN+fFSS+GDnzXbW+02qayIOx1yvti
tYyWz5FHNRz069Cwm302Dw/Qfu9zPff6fNVnfttgZ5nHLoeDhF5pVO3ytTDBJjHWQnwbqf7cN+zo
iP/wm4rFCSEHzezNqRjgVkbDtkAdtOXoj56Cmp+g99l9kRsxtanqHvq5SYglCS8FmmsvE4az71Nc
UGYp7q26RGFiJgTJ5DqMotkMgo2V1vd2MN87hbU8L0ERM40r243Vh9pKjNOmI+KdsKmh2OKMYlTH
F66aweqfmzhzNpMzx4sH5iviVoq6nYl8Z4VRd2M4OZVvXr7IgJpiRK4i5nXfllfqLA5pPT+oUbIe
oIWvyip66DP93ulrF1PRNNDiJ41fBtnsVcRjrSpVfTFoLElgMevn3q40vyqphtOIB12Qu0sVbTzr
k9vdBbo1bZxeAf/Zq/N3WeY/Skt/2WRJsbpja5QarrCYUcgG98fLWc9z3NZhUly6lFnrhIDXHm/G
pt38vgrQ//7n0MTSxtJL/6UI6ISMbY6Iq8HX0tr6A6fSNYvLV47LZjXOLm/AnO2GqWKJme5aPTrh
hloR/3fkpDpZAe4kN72Jgv7WrtW1EfVeT+woXOmvLN1RkPARMBecbGr49vuX/revnGWOkHIDXOa/
7PqsvC/jzk2Ly4hpL5zv1QSVd/l92/ePb8MvmbRIfF3xHXMphwbg1X55H2C4QoRL++FSsaXFNWDu
DezbAKBhLKGXJOpTGZ6VKitvCoxIM1Ot0SHvr5yJTA8MprxJDnRn6W/6yHDvSOLx+nK4sIoCLVqi
8beITVhZZXiJlfgwBciDRp3PjZ2zOZ8J67m1tOwt7TJPy8J4u4wgZlsN+yDrb4TtxofS6BuZv+Zx
KtG8EVvnlbWxTaImXXEVUdpENv4j/WtsirdJkP1sMauYRHaeF4FlRcwK660xOatRla+WiXFoqCFD
i1wSTbU4fAx6Lb+vR6DJrhaerLyyNq1ddTtbQ2FfcsVpFZaGRKTrStWvWLxh6Vpgz2lGdgrUt97c
9JbYcy6+OAoJoWLUdnNivmRGE62LqsCeQo9kYMdfTEqPiY+ZD5Gt9Ccl3zUdPpdcmw69OrylsR59
zKSKqzZKLpFFZ5JykKG29Qb/DEsMfbrN6b+wDzIWtZfpWIv2e0TEPz4OjJ5+Kpq/Pw98IOUMSSpv
v2ngfyiaA0MpsbtZhPJp+pvhtkjTqiG72Cz1V5ynrwxmUhRT5HbbE9OPb3G82Zm/Cov8CIOYHrbn
jojicdHPVuk8E/EZbdrcqtnuqUz9LWwvITi71eAMDq27me90LnV/1OLaR/dGPcJBpOZlQYRpfRfm
8eRpUQv5eUTx1qHkRXOzsfPloyntN1e3LJaNpfCaXH+wdaL3W8DuBqBFu2xrr7EUzK2j/Zw49n4M
9C+2mCSbjmPAzVhNTfeBm5wEYfd1adzZ+FUWYv36Wb+zhuGcJtEd2I/bXLikqXfPyDrMFXWjuob7
Qi1YM7DoEUE6MlnAwK5IiiA3h628KTwTXuUaL5qhPGsRdIO6W4x1JNTNsCjTSplKCH3NViWSyWXA
jdKBPnrwGUupHrOVo0BPMhI1xTWPdy/r7g2SDF1nwgg/vzHY+KiN5q0QbCBmXic2Q7g1VyWMSlHY
m7E0/UjE7KkKhC1ufJNWENNnZ1mX7by2M1aOFQVNaYf0JXwYB8W9wYn4GQtFbibQB/ZEjpLU4Nkt
sc9h52mafbJbvL0kPiE8JSEBchjgaCrUtI9OCtGxKbMEVkhyV3htRSboduQXqXLMucUR9+wcLXsZ
qnZDakLh7k3T1zRuzSwYNx3Xe9Hkld/Dw/EzchPB7ByXhJmay/hi1IC4tyqH7oLeKEFtTf7qdeBo
u7DAPTnWp8KxqHq7TLnKqhGpSCYOZjge0ZrUnkVWzMqoYpTWKpzFajwrLV1CZnuJka9L4s+ASlzb
1lqwfBqdC5xOe96UaGfF8FSp7MZy9Yy2nEVZYJ6wUmLuCILg2OuD8Frivj2R4OkbB7JQqRt25dy1
/mwDbx6oQkRJ1i7aLbw6jfYfrrb/8En9dTqrR+6cuFXaX2zufYAKeTF50yAR21dpc9boWH5/H2EE
+GEa/JeTQYrtfrqxo6igu+BkKMuvmvgyTCSOwYV4Rmf8+x+E7OGvP4lIAROPDXoG05I34w9n0Nh2
RNgyRbss2kwcRjy1Xhzo91YblvuoZE+aTsOxqsg1AXaonZ0ad7CdlORDJ6SEjHxfD7/pJzmGN8jg
HJRf/aMSl1elKu4yyje6Hvij+t0EwdsvunCTd/FrAZ1OARZ1G/Ys8awo6rZwF4+A4xnqaeuZ3GmP
Em9bdIZ4cnX3rlrY3hjWoTdIQzb044K926rcqzENjw3XNluvY6oXfJgUfEmOhxzsKYcCEmfBnoxz
xNawV9GvIVlgLZeN4Us9uc2THgZshFsj/A9/1Z+H+d/fvh//qL+IQ/6PvfNajtvatugX4RRyeAU6
d7O7mURSLyiKopBz2sDX3wHalum2TJbrvvrl1KmSpd1IO6w155iJqWOs9m1xtMXXcPo22r+FMf/j
0vHZvz+/ru8emizBPaRpOR4j+7aMHbfS7j95LT5+K97UL+8GyMwskRM1GI+Geo7oDHKbZNhuHw8y
34U/JTR/3CUoWmxJldn88terEFaD2kLnKhyVft5LO2TsSe4jYX3yNOaYgncDISglzgetjsJSi3SV
nelfBxpRNQzBVKpHtjEvLGqLu3TlL2A7u5H34Obuw9b0+sO3m8gLv4jlM9Hn3/iim422/fiC1bnO
dnnF7xf8iw2g00cOAVlMI+2qXwCbWIrbbp1dhytn6VDlXSlr7vMK9qALcnLpoN9f6sf85eNfYfzq
V7x/O+fJ593DTf0mtdWa+/5INXuJT3rlnC331ODTWKwfDO9gLrK1cwxXYoPLdHPnLwDpbpj33Gld
wLlfUDpbOAvp0G3ydXMK8ae7weJL4XZH2RvXxtbZFvthU99nq9uPfzrQ47/fwPc//eIGSmoTpXjk
eS/dwi1XzWu5Ku+UBRDzBckgi2gJNmFXrM8vh2W3NTwO7PEOlf4uPgYeiw9CB/e77335+Ff93ZbL
vv7drzIvenfkk/Y17fnxGG7hHnvTBpTHXQ5fAOm+a7q+W3s4Z9b2sdqoXymkLT8ef359L98qdE8/
v6OL2YapRhoJERNHeSqW1jDsJyk59h250x+PM88qH41zMevYYOj7fkrHI3tqtx9eZLEZzG+jht23
pRS1+ni0Xz/qn1d1eZiUMiZ/o4q7YwjxafRvyuD6/zfAxZlPE8RAmRkHqMTYqzF1QMdafDzCJw/m
zW/37kOTstLOrZEPrSCBOEtWpfo4EZ7w8SCf3aeLya1R0iburbg9ivmpIIehE+t9PMRn13HxgnXF
1HQYN8bj0Aus7aQ7CtQz548H+eTtsi5mJdMPpJHiHKsBiEDdIR0ybUkE6zwLHVI8qMc+iD65db+8
LoCeODLRkjr6xZAoSDW/jNruqGc/5jxEjTg1c/3xZf3y8bwb4+KjSQOnkapQF0cj1qnfX2fZJ1WF
zwa4mBKROgmy06v+KDNpU4yGP/7JbXpbHz/68OcF5d17HEY0ffyU95izgVt5wa7fJFccEbwdlNdl
cCKX8xPD9Ryp9+FcM1/1uyEV6n/kgoasUY8UhnNm1auAsd3hWTlM2949T17JH7jGEnmja19L7k27
nFf181N11nac2kOXuJDW3eReuP7s5/1yIX8/5V6+OVE9yIrPR6ec5oWcZL11qm9zxXOTtb54yN0d
ssD9D/kbh7P6ftzjDvhk9lLn6emjh3Lx3HupMcPKGdlLLBBYLsj/VU3X2aeLG+doHrR1t3hSV76b
U7Fdgbpek8H9yQz92U+wLtY9AFCSDvW/PUr7whVgItz4u7GCjLTvXsWmXGYHa4189UfwpHlinZyC
Rfz68df1dvD64C5YF+9JgtFEb3JezXolVpWruNG8q9sm3l2/FdstjkR3OqJZewAqs8hW5do6k7C0
6JbhdnDDr58xE94OZn/7PX9+7pekAFty6A3lTCnVUl+bazNdiNW0mg7RXnFfgq2/InBwW24o6h2E
Z90vbXYH+bJdJ6vbaDFvEn7fHPwnCZt3Yf/cup9tcGXRUAa+dMLNf+9d116T0V3BGsUQZ852t3dd
exKutd8cchTh/mzakxMqQ3ugZqfTUp+ReT9JpEQBkH8jU8mjYf+vowBmZN+7T5xzC2ckivdIwjTQ
fphQ/joJxnTKVIu0u1MmT7p/Faqt8VUocmhvjTrPg3MhDcZu6irzqxnqA8wIKa8SdxDS8FRPVvPF
CfXi1nEiY6IA0w3FSsut9qHROpo8FLqspRnG5NJH0hf0MnQsA2zuqaomnirMs03WLa2UU9cT8p2O
z5ygntUQkyf8FbOxsyUJuWs1BfCtjjS0lMRcit6nrlTvgJ/UrtnQXwvqvvECeXxOKhpa1VAPlFaZ
yBsl1zGo2uxWTHuV5j1lutyi2tRRrgpqktUGf1Nm5o3eUxKMTNDsGvAmnzKFXVM97rG+5dVtqalf
QzvW3MLHjpbnMfVO/NlrO3IyD9QcACfduIlN69DbzaPKFiwx8/SQ1cW+CxPU2b5qL/TGIku6DiDv
D6VNJy656avyviKA8Uqre6qhOSfg2kZSXmdY7wedtjpxipHXavDmBHGdhxwq52SVj5qJ9bdRZOpr
cv06NfWIz1+kS7vpNuzTyInLNgqi5tKCqD7S7dF1ilZ4VlYoRgMvjLkHZJQMHjEKxibK+X96Lzqq
eMWXPEy+o169thFlYVZ+UZLwzixaLNltrB98w99GpXQNpTwFIkNvwCeHzQ2ILQ5mEHKR0jA3zTu9
zjA2GNZ3s8j3EyS+crQ5qcg2QuHcslzE+bFbBGKP291r5aGntZCv04hCKukPZC8gl+uq/EtsNoCn
kNOtEDgvKeLf4taHwTBgNAxle6VXVn/sZu8E+ze7dWt92yZm9gVinljUSUf/FbucoYXHHJWeW5EJ
sYjH7r4e429+P4CYCbFLI5ZcWbX9AALj0QI8r+J5TDM2gmL+GXJ/I42kOPvTKU0iJPTqyvHPvKzF
Ue+7Q+ok52k0v0Ymcv0ctceqFhGaf1TlZLmM+9bktVOM+FCoBf46uuShZD9IFtKr1hgiT4mF70l1
tEqGhLCN7KQ59V53zHPfYB1AeofqxNJB8FdfSb4li0G9z9oUJkVh7crePI3RAL/exP3oQEXrKxYg
v7mzY+ubKYmr2uxeVT+7a1prq1jmIe4TgjNCC+Z16jTUUnkOAFa/pwANTuoUwAAXabcoc/PExZtu
O4SPVQ0JX5Gzk+orZ0hAq8pJvkmS79mFI7tWSPJspmXntitslNDh3sra/CE0kabhzFPZjubpXkqJ
zTRCtAi+bJpQGrJncLXJsh3Ta6XxH1OpGD2ozTV4KX3j2NMhzdurTqGL3ulPhFQ8Y1jdIVElMFS9
jlHspXAlwrI9Nam81jV9o5VpskL2dtVhH3Zz3c5XI4mmujpnqitkgRkhypNW20dKnV83IvGbneiV
mXmX9zR80aA4iFc35PA9dFme4svJ0N5UAOBWVSpTO2z49UFeEAMhdPUsRn0H6kY5hnxYHs/cOOUW
mxOjJ/QIa4N4mKo8uKkVJd3HemysW27BckildKNYEmAE2Jcaqlg/wAxvtuGmlTTAxkCnaKOVMpEQ
MZkEb6vTf8v0jLL/52X6Nnxu2l8s0vPf+mORVhVCQ3Go8rAM8EWz0+7nIo1dHXm2o/MnFEDmBtrv
6P7feOEG8g9SaGRbnQV5v0vrdPl/LNv03d8kd/+WmmNcbEFZpVnq+Vf4Rg0gPbYzr+LvjirqPHiZ
VulZxizOjEXrTNGHL71lBmscLacylEG/ovTCV8ISMtobwqVLZDtwRXph09qOrsi1u9OTPPVypbIX
o+aUbhMQa21rGzvtCAH0l5lQNgPhHllGmw1A34JK+VNj4CxCw+CyEi0bUT2HFqHebfdK7slygMPS
YipxR6W8qoT+YuryOhhJt4PtRyRilHWbuKw3tePsmzjAF2+sJjVekkAQMi/2B1Mt7q2hPw4qnfix
1qN1OKnPKRpTVZYfAdwYK8tnK1GiulvXNJWRM9voNHCNAe3pV7Zf7ltV2jhavEzC+NbvQaEIjRyQ
vhTXuaIDIsUKxxwib+C7yXuN8CUPoTQqplzJXSmzTo6WfoecXa5HlWZoFODewP51V6fFj7TEiy3n
A47mJr5KAHYuogACMAECqUcGq+FZohhZf2xsiSMq9TZfBEN63xo16WYVmUJ2cR3WcEJy29kp6IFc
mrFXTq5iVunWaiuuI6QtkO+YFMZsAGNh/1AkrN6Sml+LEPmXbjtPcawQ9VNKLNz0RrtUy7zR1O6m
LHpKSFMY0kxzIxsxuxZFB11x9nEl/0Cmb25Q7AGtjbpxGTYmXW5fu+7a8CGM+f0B6U+QlWA+mqW+
6Uxs3GWu6cusAbIUJ9CB0sXAnoU0tggEowIRN2IcWTQUy4A/Fnn4iO30RtS68Aqg5+6kdesgoJhW
5S00cAQBiyHm75Gy6CyULNHXWdGdQOo+ECPPc2/IVlFEhdqsfMJjeYCCcKgjJ9pKiCE9w6Sxr6u0
oh3YyISlaDAwW+ijWnHMQ+dAL9faorNCkthExO0UT1VcRczXtKO7CMwqcZQmqn6Xbh5l+bTfVIp8
VtXGK42BjFzF39dBt23y8r6T+nXR5FdhUax0Uzi0CSN2lU2PGdYc2GmmSI9suX+cqui16WFNxWJN
XMuIUZ/NUG7O2h2uarTORTVAdHX6WztJV628qzgc9le+FK1G2UE7mJ8UIz+rPcIsYzpJnQmCicAI
NcXMP5v9uyKcFiqBO/TAUtTZWeTjNULdXTmI2HP+Ubp28DVxN9Cx7Siky/0PxOGkUWQaOrBy/lTx
kwsYKyQtgWISHaqhipjfznHWSm5sQwX54eTrWe2qo4bZMndQIkoiwACn+TjyQoKVJFtb1QD8AxG2
u8JP4lXW6987o0UhwTax0PrHaupeJmuI6UMjlQi04QzhH09+ZAKnac2W+praI5ntcrXeq0Ha7pl7
qkVslyCoRAWvKMcgZuRZbK60DjHeff+WJBDqNaECOuAi2sE58AtLkDpgvyUQ2LmEhxhSq2ZvAJdh
Tqs1Y4qOUp6N3e1v6QaDU0vavhMdPQIjT8PHetLV/gTZclMEAAzKGPgy+R36KooM/Iby9KzUwU3j
a70HTXun63m3qqUaYJRk7g1LRAvOUToCNfOlKgrCDVuT1NtYf0wkE/Fb389bpMncaQUvc5JjH+E/
pzxjFF9LX38O41pdtDbqWsRyP/DLIrwLC7JK80F1ZblH09AiPx4TcTVi7RSRQ6WwlK5IDbmW/G6f
2cXXPhp+TISxDAKoTqOAFg5KA6+qJnYhjUrwgWQMl89RUhA/7CPKhT++BNJH76VFkqnGR79xDlI8
PqWh+mNSZP6VwPiR9BnUnmghTTvcD4SVGvXSD+qbRDD1yCGUacy86T4NrSs5SdFYimI+pm1DTas9
IVFHBUoN6lLNjqY1hyQbTrCU8ZarrJiLwTKmRSS6K3qie8dgr8tdKIFPVrnbFGyrNDbROD/KBdIA
azkh3XJzX7prk8VkBA9q3dCwR5YIiA1ZmZ04A4OzZ5/TZrUJ7dAkUsLHMF7S6xfFKRMlUW3FcCjt
FtGXDeoiUKxTNORXnEUzerb+ySEAhpSBTdC1z6YzjEsyHm7HVKqWUzYbPx0WECPu7v2uwwiLdYgs
m10sJfzGbnpEh4dwvGOTmbRT4RqyKnl10b42jnPPBL2Sy/SQZGGL2UnbUDS9r3p8kZElPESv22rQ
zr1d3jhG8S1ioUOwKR91ud2jGPMJE9N9mHdK7RlyvQ0weTPrDoGrGmCgwiTZOgZepD7IvdhWq3Vj
EFcT6Q1C5Q62i7XK1fZLn0HHSqqQNjWi0rHTxTKRs34pK3aF8tynWhbwpxbBW5hx0EtKkrI2Vc77
LTfUaxC/y2UTu7bV7ro8r93KdHakJN8jLJeXaIyvEqYsfOpTsJYGZZ/mjumNcwBEzZe2x+l/NhUO
jFKDtKfN5Ww7qeRXoLFgE65VPhZeDbVIdIY4/kXCR7mClEeibeQzwRnDZspUPgnDPqs1EgyguECw
CvGSF8EDrZpTk1svCK9IOJFXZWM+FkkAEKQ0F60Wbf2sfJQLe6Pp9e1gq3skPJ4GMtuT03Cv1sNz
gE+ms9RXJ5l2QRddT4oFBKuVb3N9nsQlA24coRP/bbvfjC1zrfaft91Xr/XL6/df1Mb4Wz+33TKu
SBV2DKBvdtEWf/Rz2638DxijqbMrtRTzDWP5R2IW+RQEQLMLdpCZOm9sqT8cLQA4YLZY1LM0Dsm0
W/6NowX59N+LY5ap6qhW5lBb/bLSqknqoLRVkpwUGbLazmmjUvaiPtMlTPVgEcmao1xDbHhcXStY
qjpSHYCsbqgKy368zmfyAjN83NpfwhEhWhn1dwpv514mfJO902zGNluy00fEM1725tSe5bPE4mxK
ldk9ws9dJONJSGnP9K4++5ZKy7lO9iUe8NwUsIpxhQvc4eVsE+9s8QVixncTQ2apFfwD2lRuAmHA
UbKLjd441y2u876oZyhkxgl/tqSXQ5vc+7jUJV2j+iKP7F+EcrJxsg9ZzOQ+Ym4PZpu7qO1Nb7Ip
yJJh45vqkz5b4odi7JaEZqb0otHQge+JN6WWkW9QW+ziCh/XexU+dknVLnKjTNbBHLg3zcdcbT7w
dm9n32E+BmOm4URcvZ2O1fmgLOYjcxjKwCznY3QzH6jl+WhtzYdscz5uF/PBm+wu4xRxvvMChWP5
yPmc44h6Ducjez4f3s0KOHI9H+jDt7M9aXmEk3Pe9+eDP0w8Ghwh9ZZxLgtAZ6JCEM/FAgK+tb1d
1rMw3BmJrqewWEU73ZJMZQs9UEpW6pAQvmglyjel0vRFh0LIquL4KsRK2/lEgLfsSMMcCiQyu5Vs
ZNd67CDoF2MhXK1OXoG2PMBgPBQyNI+M3NQUs75HbPMVVtWrhnAFKIhsQsr0hjPBrlTrJ1VKDvGA
QbVSszttjmdt55xWPPFqYB3zTIAfCFsrAXEyRupS0zARwkYJ4+lKMWT4jMmwTEriz1iC/W0yhtsu
my0lPowIQS1smU3ByyQGjMIyEoPS8bNVMRewDMiYnl4bLwhz67l6lngkUDULLRTLDjuvNeM5RSuw
QkGrhMAVw3JEc+uDoGrNIWMbbcA7QAmKjz2AV8F/Gc+FMcVZWmMZeok8Q24MhzbGpPfrMYzofwn5
aBmkQSc1cJCxJOdBZtk0I8GOzQCmEKVsFeRM/WoKbEH+WNwObNtcZxwcz88by63wxzogIVwq7whM
LOs184PvaUF9mK/LI/aSw4UUnzvMSrwD6lKRQZZ1zYiqUJkzmIvBAeDI4sSZcpHLdRssfOCdOGQ4
QYGqiK0i2eVNW9z9t378tn4oH68f+ffiJcqLXywh/MWfS4hK8JCCvhnfI2/lXzz3+ox3ApuKKkvG
dE8D9Y/KDesOtC3Qf5qJIl+fW8N/LCH2/+i6AEO2YKX9K9axYV40mA2CiqjWwHBCd4Z85xLgb6Vt
YBOYJp0UXjBYqdB69OnVH8COJkZqup0mr8gYWdXjvDHBBl/fOHXG1tnqJY1CQZFbNwEcGNslMBRA
aaPUD2BfrPHFkCh3myFWO1Ud9XVctTj5VBDEQYORsKHls4a0TAA4SM+1aCNBNURyVrWiPuZlIr8E
VZp5lYpJoggtDvld27KvnCu+Bf+tRmC7izGm/lqSGMNOlj32FPbGbsitXRzXmjsQ72aEuOmbTlp3
avctE+w2+4qiDqg6wtRmDJ00Xo0BYq7MMpbUdfujncvMoTVlIAexxLoeSWOF2KmBQxHIl+3A1UYn
Wdr0V1zVr8vlRNwHJZLmHDc5Ze6xRXJsG+Otojyw72UbjwgpqoIQTqpzHU9QZzVVuRqpBIDAiU6c
z1+aCBiwjVdPb9PWtXuD84EtSNWwhmiXW3isDC0SzH+NvGyMCkl/TZ+HOrhccM/I7+GxSCe9wu5u
wEONW0yCbcTiojd4efpCXE9U29dEFCfXopdPGHbCjZPMvi/qw/jGpylaUbnP/cLT8jRx43goNrUf
psifLZiR0LDtBewhaXZehxMxd3np3zK3lus+jkt5yYudb/O676lBF9HONyX7KtKHhkXK8a8Sk7+c
XylV518rXcjhDtNjmJvPQY0XYWiYGhXdeUqUNlj6bfmD7lDmUbE7pH6YEfk5nlK4RQTpZj9CsLeE
HbQnXLyjl+FEZpq3E1KLESRD697WfWXtVAMMYh+Pt2E86wGybK2H/I9TA84RBtIjfRxU2K9dOfAD
WrWbuRL9oOpXvVFKu1GzyH0mF++MLx0gTQ3wR8YgZmjEYSdEEsRpe6grB3oXL9qJcDhzVVdGtTd1
FnKpwMVbz1sqe+rWWph+nbmFGNUUbKGi2Q2UQNy0D5SVofv2MWHNkjLnu4oV3oyz66LjWCdpV01p
YVtQpfI4IvTbqibzO5P4RjJwsWSsJ5hzfH9p26+tJPZRSqyJbh3GsGCFisN1JVDds9vimsmozjGZ
YHnupb2hRIcsBOkSdYZ/ldsc5TOz1CiXBLfs/4JtFaZbqLebpOIhEdC9K4eIaI8Ybyeop+cA/73b
mtFJ9EUP8ZMeitT2mWc7FfaMdOu0xtKGUpLVBPKR+UPN7YdpRUwt2Ypm7Ipznyf3YBIDFeAn7MSw
jLdWr++dQXjsZEnvaEm3gHpzb6fyiV7bvdnLNi+pU5hA5ggr9u3pR1kpN/C8txZx3FqWLc1WaJ4c
ij3mCw8P0XNoamuzxiwRBKUbc1ZrcCjahfrdSfiGs1R7bZ3xRqc4sMiq8mqsppWUENfNMyaWBViH
gq2AEOV+knGN+tnLNI53w/w+Kkm8xQF4ngpxymYIR4yeQRQbKys8JlL6QQbyplwcx2r0VJKKcr9b
SDZ9o0la0+PbWESBZGW8MRuxkow54UeNXkwbuxHscalzvCTEa1sWp7yUoW3LxRoJEHkqXXBW25Td
SrARsr3ICukA4W01ptFz1akulRmv4hMB0uKh/F/AqfX8Nn2t09cCJ5losXvY8maU4VAO+aMB46uZ
tIWiMwa8T91XT0h9bpvWXNFtBk8kbnTh3KXxhHc7TXEnD/I6A6/g+A5voC8RxyivbCf7MZKmwAy3
AoHH4dxemDbFyaAJtwBINziXH2WlpTNm35pm+WiHzU3Qj9dd9j0fy9dKlskqE1gVtWgVmWhZ/XGR
BPoylEcv0MJrivBXRa/d0COk6EzNopbJ3KZBK8sbyek3dkNBI0xvY6M4tFBE6Ehz3nAa1zTK2Ui2
b+Ruxad4bBx7pWjNTvNHBqyWeIoxL+TNoqjwT6M7eBm64pF/CuYfQbpjo5f4LOB/U2n0xnx4bvIG
iqq0T9tiO0kWQXMWPpY6wYvGIhGWfuXB+YOGaloUzfsH/KRf28pnJ2htwTWSsalTt2zrDd6RLYgR
OuoGtc64fxxq+aGo4xu4+SCsBE3CjnvnLFHQbKzW4O20iA7ur/Mi3ZeQ5nupu00ja2ML/wSpfYuh
dNf7CpVhnLd5F62ydDyX/kyDwn052Ndx7Rw0RTyVCHHGGqis6tj3fm1eN3VzyhvjphMcaWylue1A
iPYl++sabHZupIfUCHagVmV3AE5YzxPVVDyOSUuxwliXbIU78LqxhiRumM/NOYyq/L4ux52igvNQ
9fAk+YBjyYxNbxsyNL1JbXe1LGOuAnHSJiw88XdQb/dxm+G7JRKKQ2T7pBss6jOrvQiWSaR8NzPa
G231mNThVlaVE/MtWaWzN3xo9tRW+S5TK/EmWXkKjaZcOVpyl9Vt6lYiWSeaco4THNIJDSU2ydqK
2MaNn5jeoErZMsL+35OWaAVD4CmjukhSEqjC/CwCcx37ArLI+L2USNdr4ue2NjhogJWjiQ3gr7eW
XRcs61DKPbh6VNw6L0tZJISTb3rJ/o6fcdVENJx6a0VbYgmIlvmn4VQdiGklsnw/tpg3WuMOcORc
ZC29HIduG9GZCgdpl6s67zq2D852tVLQS2ivJpQtTV2+dPYcFtZwekjFVa9TmM9klr93W9rzb6Kt
90mTF+rQtx0itQxyMDSL/JnLAkM71HVN4od0kjMoholbJDdS+Hvf9x+dHLNQ8J1e7PdBMOfKms7W
9q3K8a55CIBTNg1dkU4COz0kwO5JFD8CbZERffvx5fxqwzsbLf4Y6UKyWPjFqEw+I6n2MdTpclvK
cpq2hfkl7r5GhflbZe0fL+yXd4+vieIIPXwqNJdd0aKz/bQIzr30te32VfCSpy///orYLbNZZhiN
3JK/DuHjL5QdDqXnXkcgvO4A6qchFLdgHQHMVtvjx8P94oroznFoATmMGMuko/y+zzvDMNVRbqMz
YfQu5jy3C9Zl8sk1zXrFi/fhL4Nc6BkbX2oN02eQuK7dtj7ETrj4/13GfJnv3ri+nVCuQI8/A/80
yYJLijsfkOjHg8zi048u4+LRlMmYlH3WRGchaS5Zek50plHJBPdkoMlqTirl+49H/NXTAUIrq5Zh
Yn66jDdKIpqCeaxEZ6u6rmQgC+nW8n/8+zEwh8OW0ngPlMv8Q9/Q6Cj1dXzGk0t5cWGBNaGf/PEg
v7p1GjlNiP4U+t3OxfMphtCyokjEPJ+n3DyEnBQJVHAd/zYGM9YjgfavPx5xfqcuH9b7ES8eFqlx
pEwqI7BdQf5Y86Cxgfp4hAsF+SzOMBSL4HYVHaPJ93ox+TSFTj64ULJzfAC7v2XxvMKuvjSuwxvD
y5fR6nN18q9eiPdXdTEkGGXQdGUfn3uTWDlKQSqNGrXYfHxlv7536DNlVk7DvLRPmhP18ZbsvLNf
OZ4KV9VuP7l3892/fDpAsHnbHPgBsAb/+r2WjRqBmqb4ZXH0HW2V3ebXCOVEEMefXMuv7tj7kS4m
OE7ERY3KJT4rxmtoXxv+bTV9Mr39egjDpDFg8SVZF69apCS9rU9Bcs7zk0HYjIhUV+3MT5a6X31C
vGw/R7l49LBTwnYMGCVKXlKJ+ExpWevwQjoPEqGUrFPjk2f0t8tSZd2yQNKj/SUKY6aKvZ9TVce3
yswq0nPbr6v662Auq+nmX75oF0NQZns/RN4H3NAQldFAR1eRAuqyxie37W/v8tsQMzhdZsNDne2v
Q8RCZFLKSevcpC/StEXb+ckAf3uVGQDRtMF3QuGNNL2/DsDUCbEhxznEPi/roJ/H2yhmY+q8vt2r
/8R0Ko/sg65e8cuCLH/nj4KsQlILVU+egMopmOLqnz09AHamQXOB84Vpynw8PwuyGlVX4gLRyYPc
tzTe9D8LsuTPgbVD88aKqPDX/lV8vObMM8yfc51B6xiphklxF0WdxVJ+MQM1E3NQZ3TAprR8OqCp
od1N7TGs9AUCmJ7okcnvVGJDVDNMF3brWwUVRSRRyy6K3yoocnpld5GczT1+xgiAGYySznm4o6uz
JPtKpQ45DUZKZ6ylsvAwdMDAF5Mc6LDwE0tyym2DwqV0nd4wxXUXWwCSQ4leuIVszOtE/qDK1Eko
XG/aWbLeNKTMVb3cu8C70TYFUrPyOyB2uXpV5yZalgxz6ijfEKEB3FsBX1WgiwMEtM8r/6AM4gvq
sRmjgly7LLN1V26ROHN8DmhoRGYceYnVwm8XFo0Mm6NS50+YccX0ACvjrMj0sdIAVVzXQNuABemy
/ML4yOxdzfFNnbs9Udc/tpTxoLik+yySDYoo47kp8hHxXU/mb+eQJtpXradZk1igoEkXRMxOy9Hg
1GfL6lKGMreIO4XYArv/jspnD78aYhgFWS/zle9ClIXXGXBs5GoDTCT1MiU9IIUovaiuv3QGnPi4
Gg4wcDqvj2jhTEBASOxbVVaHTynxkZBlABVqv9yyWQhcoRfHWC1uqmrwmF73sM28UNDx7G18PkSv
ASv7hgwJLT4wj1ajxJ0mizTUCQUqg53uZ8u6tOE5+5PmUqiO0ewXycoeLUj+WnuVSQjCk7QmkJqA
diUIHpBUxGyHHRjSCK9gcAZga8lm1h2gHFW76zukRJVcPwQABt0J2+g4KrdtIJamoAUcI9BM8vgm
yPtDZGiLBMKTa5oTGXgG0pmSwJVNnfihJwvnTJvNWtqV9lqkSrNRsLIA4iuI5cvbdaghV9eSe/Yb
X7K4gjNVnaSwpCrjJMDmUif27DQmwYCUNwu1KLlpnaw9ySWkG4s+bD+ktyIxtrDYR5eEMdqbNnvw
EZ8oL7oagnOgTKY5k7wJh+Eht1Sk92r7IPzhi6I3d3pDRzSopzU6vlPcGOjpqBwb7TdhUTAiPWHw
OgvJTZUoi8KG6K213a0fI+MrYqWjPBRsg0YPNlVb3XTm9ETh8Wtl4JcQEfIoJ45m5JmueLrc3fcR
ZTkl0aNFYYY7SSp2suU857g8XDmo4AIUyi3b/VVU63dlI68lrTgPMplnItJudYI5FnYoI90S0FpD
/SqySmQlCdCuKKUNYeXrXBmfs2ASm2QMNl1fY8IMbcfLJRTotMEL2Cv5EzpBRHEg+PnKJnvvIBeE
UETtQp7qQ0SIXzZAW/dVsnhshx9sSsMqbcaTouiUGUP47nV1xNNxT0kt3BHQlAJvFq9J5NzEQNpc
Uyt96jSgaptp/DH0WDD6nsx2P1B1j40lrpNmDqW3gDj55KqRvcyrg5gCBaZE+kQZjZQ4C8MjP2+T
BOLZDFtcYyBol8J00NVXV4qkvyYUgxeFSPEczvB+A4r/BM2/huofFNFmnIqn/A33D/ffmgMASpIA
5JpIAFtI5IJ0+G2Eqm+DFgrWNEcIKGp8pZApMJItMJIxYDlI/Gt/n6XxNmyrWz9EMjeHEhCpcRhJ
KZiJceUcW6CNtPVl6lt7Zw41qOd4g56cA2sOPIhJPsjnCARrIAwhJWnImOMRhjkoIeqHL84cndAV
Et/0HKeQR8mTmAMW0BqukjlyIbO1AqOzSgrGGD6ow+tQE89gzUEN+ajvQzN7Eohi14pDwXBo1aXf
F19q0qY9rSFnS2eDG7QGpWOLepxGVbIpXhxV/zrV8o9e4WXAZnFX1jwwUpC1hZG2DVNEXq2qzDr3
BK0EGpopKUB7nKb9keI7MZ1IOrvwNGU6e019DoTuJdWdCB+xaLkuQlvedgU4bEQHYqsPxq1a+o+h
RYp8nUav2UDJ0tcBESvs8DZN0t9DP0L9awkAT6SZU9n9b5f01rvW1Y92SYT1/h9757UcOZJt2V+Z
H0AaHNrNxuYhtGAwqNWLG5kkobXG189CVeetzKysaqv7XG/dnR1ECMDdzzl7rw3Ud1m105+H1/Mr
v52VsB3YnhBYAB3QvT8OrwnQoxDySKD6Jo36Q/9kzI4DKjW8BzPq44+zkvPF44TD04xu0IKV84/O
ShzZ/nRW0h3siY6DPZAWmDn/+3d9HKk0mFKeV5wzwks3YnQqiK2JsUo4oYSV6a2NqBIMngmRS2KX
iabd7EtboC9ivczTtD/0s6o5DRA1NXq782k4g1iCclrlGOoysFQtksvIjd56VXFbdmBbuyydUzW7
bO2mNhHgxSivYO7e2xULNgJKBrHxdAHy4J6cUULnw0cVmXcprZmzK5S2zAeBAzB0kaEOIjykCShI
y4c+x4zYY/laEA35IbSqZUym9XdZKXeO4x6jYhg3+pDRiB5uStGfh5z+DrLQyw4VpG+VW1uvo2Vn
DxepOyeq2aw4Y36qbXda+I25jXWJIc6vv45kuGJv87u1O43V0gzV1g/LW0uOm2CwEKBYeDWqKtx3
ifsi5ky8fuhBD5QrJvjzvIvnuh3SHRMHsRriNiDtAhiKPd0on6GPrQm+mjbsjknIfpja/qUswoP0
YpTVSbKeGu09ihJGsCUwXRblbT/hNCuVyzixg3gmAnIo2om5ZOJdmT4qKPhq0DApk5rGvCFz9iav
3w0v/3T5c+3IVxaWsOoDUb8GbWYta5p5AGkbBgimsTBnjYDpGIs8gVYFz53u21jvsIfdjKhMr8pU
4AyJhrUOeg+6a16vkGYY28kw7iyYfsu4I7RHs++LbJSHsot2nEVJAygV+T/g6z0Vb1SYHOu8uepV
vmqwfCV9tskH2RK3ET5Kq7bglxq06us0YJ5WbqbQZbAzPhl5urGy7sXqx2Kfmt1NV8OyE1P/wZWH
9WAmH51bijPeSnNRihHOsodSKQ5OstXURWdWb6JSSKhRTpDRmjkvAYaRNedJaa9HZglrfaLot8Gv
RF1xyWrMTNfP6+uhzgHpu6PfSL6gknme4717hdcfOo7InnKR1g+7xlSb0UbkYKrqWVo9uqox21lx
wSVA0BUMNKueXba1+Yo9X221NJjuzYLgEcsgjdos3FuS+o6NGD+SoIxXIrZvGOz7R4d8pSntLo2A
BD0ZQbpwmHHQU3yPpkISbOy+Dy6iXdObQM6z8K9yUV+DsOUrrk4Kr+aKXlBxyF3O3nDkkE9Za0bk
Fne41y7EMPIKxtQLqEcjEDeFU0ZdgWJtV1ba6ATztjlHfvj9akqOpZHp60l3SkTX+G6AB3PKO/SR
Ua8AgT1HBfMwx2maC07WgLT7yv7QdRXf5bpFIE7njSRFJwHKln93p9+VVSzUf1vDNx/Vx/jnvQnB
0x97ExY2Ac3VpCU4l/Hf1fFsW/DkaeE4DjnuVOV/1PEO4fPSYeJKbTob2r+pquwvrudBrWeUYjh0
zf6Rssq1/1TEg5jFXYcT3qQhZv5MVUmLxGLU5IGJMaduU+jKWgGDe3bRE+Zu+2g0zn08XavZVlOK
tVF6mJ78e5VM8RIBionjICZGeTxhifW1r2Yf36dgcsG/VdEWtvob92JDQIa/L9Jop/sZx9g2R6tV
KcweaCYNXbxoeMDeRIObwFRJv+YQroiHi0iBqpwdFopD1jMpiszgMWV8ztr2PDFiTwqvIiS+fB2j
+FoG5mvliKehw97kNMOJ2J58OQYxLtMyOrYtuiUbfNDjqHsvIcFEx6wAzSh621npRXQft8mLPrrT
3krZN2otR+o07abSeOnq9FJmMKEc91ZW2xiOXilz5JpRf98G4bMXartezx/rSvMPLhEZsiaQI+su
RQTFAkLOMIaXsxe7HAGzqjB4z3Hb0tsgMczpL+VsO85DY2/lG8Rn0MTRZxi3PrH1yFCa+Lk0Ao7m
RbSdTWgLDN2rxEI80NjI6+PIYEBuqUVu1zVyYjkjG0HAKu0CVlK/yxs2BRW26z6PkLFAqtQR21jE
VSy7JNmVefJeMb5dNUaNarTSt5UzBUu7a69GT+70iOJJJyl9G2QIUUK0WknG9RL0EzZ+R+lWb/o0
hqtaZ/LhTaucwTMh2Vi+WjL8mhDopLxMC2vlRDZ9lDECrE8ajeWuMLPApbSQtSS6TdzTbGj2kapg
MuvEIoktzi1uDdwwbNIlZSI3WyjRQKXEdTXuK/InTB2kqxKyslSk1M7ivevehZHtCjbN0vw6zohL
q4xuMkFHJ+CX0wrz3iZ/oEyTak2z27soNbFPvPxURMMLIcIPQV2/FaXHOt+PajU5DsVc1CK6rSib
iW/Zd2OTr7oyfsQTN0d5UaGEQXpNnILJ3jvsUtHkG+IGsO+NTr+I871pABuFE/DJ73HMi+JsVQFY
A30L3Bd9DdV+0SGNGxPzNiJVgAgFtqD+lE/0zVDhHYiluwD5ujfSlihwAgVgw75Ftb+Xgb91LANr
m1ff9XV4W7TaPYPhvZ7lh7ayPnLH2ce6f8Y2/pLVyb0Tl3ypU39hmdXRbPNT25Hmi7rkOkm77aBw
O+KAy6Z+V8h8L+YW/GjtEMwcfAtxUTWaxyLpj32tX+mBlWxasguU3zz1LhV1bU0U/c25aHGvgRc+
VNK4scPiGIcdu/DY8gnTdh91xtnSq5NfuMiGOiSFI0Z537it8/qRgu2ohujUBjBa/fEmg6wOHyl4
jJMAN0n46Mfu1vZzzKehtydob+t07POh25zMjBx5uqGIwf09PdDrVOugKejlMmirfSf1J7Lnk6Wn
J8lKGu0N2QQXbYWlaXIRx9DjfkKZvnNbKsmxWRnDROsQKaCZOC+TJ7e9hiRc0kQIu+eMrN/a1j+n
GoBXiBx8wnUf0qKl8TjhnLsxQirlxOsTQupzm7VvMM0DaY7TunKSo/TbC5AG+6FpobBhLw2C4Gx1
yVH5Y79ARnIiAAmth8zeurDhzF4lIKPltszlZZURsOjBSk9LXXD8Ew+haC8GYT2asUayc3Q7zT8h
ZchbIQaeRn9NBvBR+NrjoHdnU4hLPSYkznFJdBz7V0OjSRcWPjKykv4QEUxIN+xN1oKbLr30pSCx
Z5Q0Z5uw2sV5tI2zol/VjnhAG3Yo624RBFgsau26g/mxNKw7UHNrou3fosS9pYLxLzK7LPa6Dw8u
zU7anNGtSlI8JvtFFM7WNdTCMqFHRI1jrftqMHYxDVfD8D9i+hcLJrb6cXTHC/guxkYIANTYZrdu
ScHATVFAPqGQcXx9V6ftU92HtyWN6LH171RV7zKNxuvQew9g4bd85jt/TB6bMgA1ZF3FMaIdvVsa
kYO7lvQI28rPfePfhTrHOM/pdlqCtHXy9lXtXE+J2FW+5KsRZ62sAFwhDeta4zZG9Y4hDOOwV83O
BdFfF6ZzqmHVOWt09Aan/r4MH+w0bFj8KY6MDBVn6iUzJNlZpCUyVXLCeDrpoKNHXjhzbYbKf0c7
Y+v6mQTJTu2WzlXcpIXlwpgrO78DhtG16VtH0Wc5WbRhh0GtCu9mVZBpMKCatfNmpyhQMB1SOead
7A6AVVPgHeNnVtWojon+jMcsXppz7YkBwFvbSfLY5b5BP5kK1Q2AP4CY5tCKrzSFJO1fIH6kiC1F
8xQJF3eaPVUaZpnevq77bEKDNaFC7hOLJFzcPQJHDDDYSWgXCJ0PXRFeGV68sYZo7RrTQ1qqG5+8
iLY0EGmb2dJIPIjHonxSvR3NSqd1JQg96OIBEyuYC7Np3joCxkTsPVvKPHU9qlsgFinQaRJtEHrU
d0juxpXnBq+srA+6We2QiZ91e/iguD2S0ULZGCDKCulJ1Zr5VEz20Q3TE4WRSf8mpfJD7VUgVWvZ
ojmGoxSs1DmiDZ/gCG3qOFxgk9kXvnNhD+FOVBStMTWR7Bd2rser0CWo3YnMa9mntw029y4fx1Wa
ZXckV2U0zuMjLdG9rmsnSV+Vo9DWGMp9o8gziYO975ZHv2geHcvEEigOlclOa3qb2Cu+0rZdR7F/
PShOCiPKwUkF64perV02Hyk+bi3LljU33TC0x1YmX8lYxrUvs32uhzcVtADHCEloYfpipuRtDvpt
HWuzu1DTliPyxpFafwLOozqwPXMmeyvrTROJXdoaTwyDl0kkho2tocDGUsTRoiT8JSlZ3eOnBPof
kZX+oscSJWPmxXQk9loRPUiptpRHV3oHYjhuxN3Y41eKisecKRV9XQPnRxe+qyrvlkPUt/hvzEuC
gC6Vb74MekOSSVRAP3e3EYZ2Gepy4/vq2MXTRzHal01BMhDrewMCgZvFz3ubuQfzl2AsxFqNjnfO
RX7ILLrdieesgka/TiztImmIbNd8c1PXSMaVHcANqpGPBaPzbPfosiUrDSq74WIYPMSxff442NN1
oTnPhhGpTRGWTzqCx4XutJu47uBB1HxqT4mdnJeeEgkvnPxg51dJtMStdSpQUce+hlcdF3ch5j4F
8tpVWaX0MWE5lyOcA5g/n/RkVrRwbv1wKLbJlO7paEOGaNqLqZp3bdt6Gmb6foTvZ1UNKF3L0boU
cXgJ/WZJ9Eawd4OpvihQT+IPN2EnJ/6hr9S1rJNnFPHWbn7cHXPWqmTs5kzhzWcvgAtUWNdMucIL
aZLhJ4q9X+h3BmmsU27rSHKhEuj5Sk/ji9LXsYDSgfHt9BNPHLEGpkGr1buLm/wQ0n+OGVZ1pLWt
a6N5GkV5IwfcylnhXkbCv0yBKpGsNx7Ja3soE/lsDeYNCrX8aJuU2a3vgElvrOcplXsJtXoZ6SET
go4/rJVik4sQMlNmdTtaNdgncGOQ7Wylunk7iMigjKgqZoleMloGgyLT0daGCNX0z3Gbcm45QqUU
dBBRSfzY2TNCXR8MIwvPUcFwPDvV00Bf6va7svLq96Hq9+rGn2bxdCjnizjCcgSgEErJHy8Sq6Ey
tboOQSPsteykE+Q35zb1d39/GSrR7ya6cyOUy7jYMy04KYxjfhJ8KJ3GG6JXDu7GZ5/fa+Z/EWn+
4u8zlxa6Yc3qC/vn76qWo5PnTpqcs54bbeep13/8/l0kC3xDfFGz9+jHr8l35/GhXaZnj7rDvrLl
f6F3zpKHPybef/5+fvqtLSem48dSeiZKV0uXMYwqIsqYBn8k0ervP8ovLgXj3ZklGDZaJfnTT5F4
TLP6KY/PsPlRzDb6gpAO31qyDYN5//trzW/7p4/1w8/yU3NaF2HauU6SnAtzSf/Kpu5qVqypY7f5
+wv96kN9//v/9KEyN5IITX+/EDPbLCD1Y8M+Mm/FxX+51+Y3/fOHkrN+1mN3NI3fMOPfddxNOzNy
Nt7sXJsblbx2A3mSX//+4/zqdv7uEj/fbhNJrLmPA/Scea+Rera0/8XtLBEoET+JpAxv94+3c1Qm
IEKg15wjVkDGi8n4v1i80G8wmqD7Y9BZZqLy/Vgi0zLO947Iz5P72ruX7axHaP7L2vWrH52bmBGL
xfBDzD2u769BpD3taG9Kz3gQcEPNegD7uquYk66Y9f/9L/KLa3k6H8MQLpMb+k8/XitQjF5kZGfn
YK6p1+Fsx1pDJsg5Y938dql/ZUvzbOqvW54M5P7PKvzwf2EmnV/4bR4nnC+6B6h5ZhLoswH0O+2S
+wXE//xU2hIK+ncYMNP8wswNJRHqPHaiGTrwP21P4wuicZMWKoom5Kkonv7f//1B3l7/9N+/307p
a3Ij/LE68Jb4Y3Bt5rxOHi5GfD/eKGEUBQA6GvPEGpzS8sJQT5hL69jxIQ0hSxpL0U1uBU9RLwxq
5mycbtsctn6Q+RcmOqPXOMiWZgNfWS9fIjcR4qoXNaaJqBuLclF3mTyneQMdw2yTcE91bdwh9tLs
vaj1SltIqTXnVJnqEI+OTq5FHEfiNnRlYpGXMSX1V5n5Tn+qzKKyr+dY2g4Y5geyH8QXWdhig7W8
FkZl5ImNLL2wu2nKsdlbJKcR9zEF8bRW+ti+TJYLsdEtA/1otBJOU1lGKCpoqa6DATtcVVbNmhSz
8Gg3I2RKNRUtwV5KvrY1khJy6lQ/bV2LXkGcBe1VYNivLKsvVDlfI4deBasXYcuO/VE06QepyljS
urS03mkA0nGhpiv9fp9Nur1pAJ4gt/SdRWfoYbjs41ZgyesjOgyN9yi0kO5p3KuvQ0gBXpuZsQ80
FVwAVp0ZU5V76ZbtsJ+KotxarL1LwCakD8bEu9hewWbCGBklmCIUsC5WTuPh9qkVyrP06LUSCbOq
GGbZ9rSPLWQ4IfFKyIWCrRuW6aICRoYOwouWOfx0eg/xqvDkB/xObet10y4R8mzCY9qOqqd1AyF+
4SsEKpiFniw8U6u4n0jVcuxtLiS1T0P8YFD1l7E5NHj+gmEpkxmmyUK5jrTCOOt+HN/ChDVvMsfJ
PiLdquCchdkjcpuKzmeJ86yLfkd1/7tqzZaVv161Ll8L9t4/wYV5zbcFyzCAEwpOvi4qfgvDwB8L
Fv+EiQClAILh2UuCgPmbgMD7AliFdYTZDsOT37Ar3+Y03hdhWzO10PzPGvhPFixTn49G3y9Y9jwJ
4uyE/xr95p8EBFVZp9zyxnQuihoXGYXRopKAGAp7vBdRuVUzsqIX5UoV7ZveKjiqg7/QB+tY2ypB
/aXdS8K2dHs82RPLlI3TFUx8g3ArPDthshmVBxPRF0uaisa6xEUZD/LUm/ZFnuZbz5e7NjJog4AC
9hymP5VPqicUilvHztsNVNEPzcmOMAQwqXSWf3KdmMTEIiZLu2TCayDgARu7JQlqr9s9GWCG9+AW
5hXtirMND2bRVhmxSWaXPMTOSCYo7MDRlteETN76FLWZzSR1tDGk+0lOeGVjffS5H52mqS0QkXCd
0e62k1b5S7P1lyBFdrRa9I0/CBrVCctdQ+egwfxaECqHisEoegJpyf1bkRu8DBObZTR5A2a0akbe
etHV27asMLjlVrQdGHJvXD3Y5D2T5FnJxTx6yWh5VVmJ2BtjfjT1JDwIzT4oJlRLr9LJAYyZg8Q5
4qfeuS1F6GxGr2qWzLv4FLKyzoRa7LMeiVQ+gaSzazvZM1Qgt8rE4p41xCirl9r37iINM2aomTtr
VB/UVmCe8CgSHp2uagZROCXgHWuWtcsDBXg/TvU7JjhYTAd7T+dpWFl+cQPwZYdF3l0GNo5nfyIF
Lg9rhXS8IzRVj6MF6USbkCbGegrCcV0qtGm2H3+tBG2lrhQAQrTJuJElSWOTHa8D24PIpYtgpUG/
2XS9LmMOqUaKl15le6fV7J3vkQ7Va168Lzx7NbiWv+wsywRz5kbbJreTcleRXqVuvd7TDsIJ3n0t
h7epYnmYigCub1Ltq9K/Y8iEyrAxdpZWNEtOres6aO1159Gm6LL8mHnVqa7Tz3xAZGJNPWSg7qmo
aWoj6nxojTKiOyjNZaeKp6729LVbTxdthgYl1a1l5UXXU+N1cHfggPb2CVEjj4T20PSC1Ld+2kUG
/RbHt84u4JqWTdcOkbcCK8hhqNVblMcXiQM8QpfNywQcDf7evRyY3aWwnn2jROk5MsyKRBmuq4jo
0zDIXqUenwJfWw6JH6w5E52yRO6aeWvrXe09VOF9ro2cMTSfgARDfzfD4qGLvZUGNnlRgfN47Sp7
rQntubNoxvaNdzIHBHEIjOJrJ7Ze8NQcazLJ3Kk+0jAkNwx1YTixbeU2upzcOJEvt010uvKF6xzN
gUjnir6fZgQ3YNaASobji+HexdraGr1jEYYb2UU1iYZhtcwK7S7s4HE3cXINTUNDAFo9F1pzEzmt
QrU5XQU2tAbHbFZmT7ZeCK5Uc3bTjNZoFAM6vcIWivxxkQTy5EqJxz4+hxzIWotf3cA027mDv43T
6UU6XbNp0mrpgGS1wQwkWuQvyUO7aPtpj27nDZ6CvlBCQIfuJYSo6LZJ7DcJMnTVDohAstJ98LUm
W4pU8RCTCbgwgwagEmvhQk7JsK0zY0x/NyL+u+MatBH+Zsf96F7ff7Xn8qr/2XN14DGYdnXQ/Obv
lcD30DJP1/FuWqZn/YYR/rbnyi+24TgeODFcDvPL/ygSJH/P/o0xBl34H0JnKAX+vOXSBKNWoRTh
gj9LI1QbFqatwvEcZlfm6LJ1KGZ0QyPvh8noF/pogLwzsgtvSm680Xobi0RbugjVF30AqG8Ma6je
jTzUMSdHnR7HoDlvMohPSSsfCIG+N/vsE1v2ptScYhFit0yKtFh4tUP1wZlbN9ILXOD4z1UnwZ/Q
E9cBDiY0jZAOxA8cpCdiKh2OA5j6DXbzBVDgJzLQH/xxetOUhxwAvGNftvdx2FxV0iKCTokttqhb
UoHu83zwL8H8HvK+KxajVh+Fx3BlyLpNOuR85gnAKGour923XrChd6iAVGSbLNAe24JBAns6JsJL
mlWbyQpo6LiuWsOIwqvctyuk45vSg3hjonsTlnhHrH+uY+EQc1qOtxNU5LBT5lIU9XIqB/a/yAzZ
uK0CPDhxp1Kzn9MpNtZOr1zoVnpyICVbrkoKLRwmaosJA5RlPysiwOPKkZNJL6eFKdBkQ6ZgkmE/
oJcuY4LYK4t2fsumTQxuji1jcNBT3Iu+pyEMCacMSFdv9GCdRE1XodnwI7abwE+slcrRKsCevGAq
uI7rcasnw27qO2fdgu1YRD55a7rVLd1JQWWH7WC5aO2AvnwUkX1KdAJqsfFSh3Faw5TMWEK1902W
vYRQL5QN/yaBfmnV+7Ftj0PlRgyPsl1u6No6iIs5ubw7ST2n3cgIHn7b42g5h7RAE5Ha42sp7PLe
SqFVpBY7fLfoi37fGsN2iCKFt0PhNQnVDr1avvRL8zi2sVhIDdjDqI3DYkq9B62DguKU2qaXBuyk
DpcM2npP9ftJQnHW88KBtpaR46A1HAOKbRgG7kJ3weYZCtos5AANZ2BVtQ8T88PENj5zk++MBf5J
9xDsqPgeCMWzn1ZXQ4Cmemg8vBfTU13NZFRE8oz93WVCLZkNzSFtXe7maHrqwKwwC3xtxnBNQPMR
LwK5xMUzCO1mpUwG+rHOiC6pkju2i3t0pB1CP6LpdZd8yaFZFxPOoMZ9LiXjsqp1ThWCzCmwtrqp
HgWYm60+gudp2xfb828M7AWuyM5Y/89DoZPT6EwGppiO5Aknu5hiNICmv4mz93imIjOHWNe92uZh
ry+o2nFX2ONV6NhQ2RT/S0/V3bg1GWL1sATw95oqlYEjjakGa+sAf9vAVjDeOROHhiFPIE5X7h1B
IUcwFs+TF5wSOVybhrblaJYtZCnf1UzeljC7HbfcM/3lBlQz+WRYq8j4ILKq4IESd9zGT+g+oYKr
/LIJwWdI810ioKXu7K9yxaA6rcWsPzTcVaBIUk8cCn0PaSaC4CG5GmN5ExP/MA/Qyr3qAn2djoLI
Dke+Dap5jZPySgmSp5Vrq1Xd69iBxlJyrLGPhVdbV5PpbbUxD0D+kVd6W2TiqxoRuPrxdD/l+YU5
+W+C2WabtOMuVVJbN7FxGQBUXNRFUAOLYfBM8MNHXrjTuiUagRCKYgYKlWzsUH8XjDGAzNlJtVRW
dTEJF3S5OISt2AdBc1MxHwe/Yu6dybok9+iYp3zKEFlv0QDitSfNWmE5XUVB2qIbsVb/tgbZqOnM
0W/96y3/TK6y//GLMptXfdvy8TRasz0RN4xnid9gpN+2fEHFPJvO2d09esVz7v23Ld/8gtrRQaIP
nQ6l4hyL+63MNr8g+Uda7/Bnbapz45+U2b/qC9IKx7vNpMvA0u/91KwuHTGGvaurUyUF0OcpieVS
zG0zbSj1Y+bWEKa1ua1mRcEhVOOz5wvCzdzoq9nZghkxpS1hKEiq1qVJhLVelMV6iEKOqrgg8we/
6pxxCWWvJuyZxwtkVYjguy8IrbYSFX40ra6qjZHZbEg1dUCGgCBjfdwEmCbLdZPUqLOTyuo2ZRWB
mcIgJylA8CrNTHKO6wUk+ohceLph1afm+QPPNAYhO1TodQwWEUjfC2e2oWkm5R6ILxQCo48fswKh
g8ClmHJ6BjqFdX8tzOki6ORsyr6w8mRPdvJ+YIgKUB6qOrIOm25Z166M2gouCsvZ6oV2FfHM3xTK
OzZFwGbmcwwhV09cZHVeLTEKxOvRiTD4FVq0oqF3Hpr6rMVE/vYozRYjohHWiH4dYAmVLE2NhivR
HKvP2Gxuw0S/pY+Tkm2eNNmVVsbTybSwfJXFxi+c4CkP2Ynp/KlapcBmCHgx8+CTmi1aGgXqBiP3
EDW0nBbM9FZz7H5TeOwObgk/qqIUwlsmdwVIQUicw0JNrrMyRBacO5+Mo7CI2oWJb7IZNODgPVIS
UnQwrZJjL2kaFgbtk1A7CSwBnSPAa7aFdV9LQtbY9xCTJN6GHku44KC3HFDQgW51i2dbtfRShEZ/
YpERuLSsR9Sz3z2KV793ir5vef9pHMYDNzMP6Alw4KaX9WPDO9KDXo9lHV0aelBszKQ3XoOR76kn
3OU/8Jp/S555wvfX699V0qav9Z/Xv/lV39Y/g5IHViY66xnF7Hgsjd/WP7TgFmJwd4ZTsELOYXX/
Wf/IQGFKwTjYQr/9n1Xz2/pHNQStmCLFAIH2m1L8pznI381FEJ7/XPOgKofezLtgRSUX7afbxAr8
LAM9Js42Rrx4B3PW4PxfxqdIJUtrqq+9YHrk2VoYZZNse18+amFQ40vCFEjnRKqESobSAkAUy2de
XTtdvpWEhbTkQTnpsDeHejW1OzvSnjH2HJS/AfN3FpH0TzSjvKVjj3LlCkQUcY2E1hmnd073aF9a
jqKQCJ9dS5HQZWrNxuqb5ylPdz3HspVpd1ecC4m3zbSQf9ePU4ch0EDDaPE4LFo3eci0doSaqX+E
Rf3ZT8a7p6Edy9s4WFbGcJt6Qw+umZikUXusJos1YJojFhwPvp68zJxxPGpWfMMeMTMFQSUPihUM
0xf/of7kKbb4P9Zfq06swIoZ2HRDmL8K60YaVCUKGvOrHj9xSiRABM4yAGybHDhnpgYpt6lW1Hqj
xSwK6hqbg0nXpDDHHgUimR+vIrRUtw4HoNhB1gX4KbN4hwO/pGTR2llMXazZOqhLdTkrbrxkw+k2
RoHcVYLYGWZZo98310itiYGYkuq6y80I/zqQmsKlnWQAjMZNxRIclBHwrwz7cloChp8qNqgWyLFV
Wd6C0AbiptrAXgySHDUllY26sh+vcTFY4P8ifRX13TLInfwgkS7hAbLCk7L1aNXLtj4EIMa2Q8WG
g+4IsFBJXgwuX1NtRdx+GjL3tmVQtssyVv5OONpb1/DzYfkr17hwMcWXrJUhCv2dpTsfUsvtRVv2
/Ro9MTWItPaJ3tbL3I6SK8+kzSvqzFmQKBOuJTF2WysxQbV1tb0FVPBBTI/c4vcmn6rSkit3yv0D
3xzRmKrPXj3iOxbGGOo7pc/pNzoW14yMAyrMJq5WwnU5SVda9laMQKZyEs0WtU2jqfG06tgTnnD0
+7baygD3ApBEc1tg1SfwJrAWqrY/Qwb/MD4DgIGWuZ3RB8FCn1L0+5JhVuV51pueUqoCp6W1h3cI
1CNyrrKwOoIleqHxLjOH2BSs9Txz/qGiRbjrpzhr1gEsQQLLTW+gX0e37DOBIbDDQWlc53NwCMbH
+tioSUcLTiVf6cNdogkfOX5iLzJTxlgXygcy7/ylPimQsrLPabgyaOvqZ3IPHpOcMBnF8G4dpBQg
XQrZOtLd2akVPYgsv4rKOnwZJfpWI/ADVLketvQC7drUXocZ0mbbScIlYN5yL1vnI0i6F44+m973
SOmT2mcfNbPLPnw2teiA5eFpcHp3iyGYDJy0mhcReeKr2Lex/Mx5TrV5D21S746h9FUpgkMhbHeR
Vfkl09+vhiMfu0QbVqIarpqp8vZeVe2ISr6tJ3lfBo5a6w19x7Kt4K+P4YLe67g1DboDUYYm2YOA
17MzV15w4+tgFlyf6Dzig8qjTeYJxTaop8zYhXlwiF119sz+pA1mOadDeTwpmKoBiSOwDBMojsjV
3yKPFoATN9HONzskpVZrIhmU1sGBmEUqU17j4k/fZG2zZulthlivvMp77ZbGxezJjsODjx6Z0pF4
qnjsPd4S9fmoQcYsBtYklff+dYpUinIejXY7PzyTrhSlFBdtCkJNIhXKLdbA8Cbxq2LlGWi6WWHa
bR2RcKTZg9wWlhjXUxR4M9kzYYVxx+3QjtFa1aGJ1jW11nKKMNlX9ifHyGkVW9Me8faZ0vyYmtEF
4KB0bfa6sTV7nPamXhCrCnJ4E7g29kPSLFYWWPSd4Qz2KqLfEQbJhLI0NLaGOYcxRrzbIOWpNXra
xkkGz5kD9hzuxiqlk7+47bHOXdtVZ++CjqFXGwlnq0W0W6KU+KfSJ6sxS5llsEy1i39Lvd9Kvfn4
8ddHnZuw+0BX/P6Lam9+4bfTjrC+zJof4id0izMFZ9Jvhx3qQIcOLicaSi2Gp4w7vxV7sMapC6no
mHWi+Pix2LPg13hIfKgTUXB4/6TY+43N9v1IFQ2Iw1EHGYrjcA74GREYGBni3dYE/JL/f/bOZDlu
ZMu2//LmSEPfmNWrQQDRMxjsRWoCoygKfQ9H9/W1nEplUrq6ykqzO6hBzlIpBRGMANyPn7P32k1T
OxdKDiE1R7ypdgXxPGaanT2hGxmOiVDD7DGKBef2TA7Q3BORAPg3P4sKR+pYTMreskrjJNhoglHv
yiNdjeJ2NsrxLCazviiTvnpBYjIe9GLMbk1tJJyySjFs9ZPzGuoJozvTDTda2sIVdqCQf4xVdnKE
0TAX2rFemV6+zXRtDJa8tD4Rx6l9UYxkudE7OxEgXUnIKGctJwnA41RhN8GkpzqpOikGqpjwgqIQ
4Z1OrXEjaiWPb9XUyqIOioXWLEgqYpqXLcdvgyXSKSOdCwpgNfSoOLS3ccACU83PsHSH67bVXHpe
JF/QHF3gHl9CzE3XhZU06b2SLpZsl2aOQ5iB3bTIwQ1oD9YACQ0ahLE3h6JfY1nWAwf1RguD1e3r
JiBNKw7UofWs4yBPw+HbwbiQZ2T17bisNPLoPCelYWxnrUv3M04WL8BJe0M43+DsdHkCrziK92nO
8m/DnD1ZeOr27ps8ZpFKmZlsncXwY27M8VR4+VwqXw9a/xx+pIbq368IUhe2em3L5/bzT5MG5Kvf
LQuaIY8rkgT6puV6vy4AKOLsgdICsJmKgO/bumD9BoqQRBqUEDZSCynD+HYIMn5zUSu7DrU2Jytc
sX9nXUBa+cMhCJE13S7bsRghYdhV5d+/k456k6XUZBDEl0pG8pYl71d3mekmynt4eLud+6YH+WnP
Crc5XU1u+XBsuvQeLyqDi7eHopTPR9nU0aSy8/Dc4EXiERJfn6doahaerikfGCyvmq9PnkEyDKln
b48kD3/L89m/Paxu30NOspiZkq2Em5iswSW9K+AE3Jt0TXWgESoceQ2sJkEsabypa/AFFd2iHaEf
oMEt4TyUhCZixGPA8VDTRmb6adXL7JvlouW+0jUlKvkajkE21E9G0aRPilVbO+Rz8Ky0IQ/PjqpF
7ip30+SEeAAUeBES9OW7iR36XqWDMFILnz1fIFB3ikvHLoebgrbXuiUCwcSpVw47YAAWsYuN+1Gn
IFqYIXnVshrozk8rxyWGkAl57twomgtOZemLZJe3zvJS6ApQlsicu9KfVea/ZDB7VgqoxzQEPkt3
MPqt1fKFYIQHj/OEZ03TKPQ5M5kpOP9yzdLHasXKMyxy2jUay+LtvIiaGIx5G20dtV8gTQ/pR8Mr
u2vP6RyoTbZGD4ru1h2iwEvP6Go66Aqf5lWpRIO6jjo5mYnCSjT7WNcElV+ip08Zbbo7qAq5oFgR
KCtGkuHynWqUvbNS3DpM943WptOhcBJzfLVHN3r1sJBv8SGG+AzjCmONh1umUzrKPwWZeeYm3WNs
aHV7bhSyqJkb/FPLaF9rmV9qw+TKtaF1/ZJ0Lz9TtX4vEmOuTOdatRzy/uQS9K2g0Y3fUIfRN5G9
aFo1NHa+LVxE0OueY7JL/fGqbwsXVZBnANJDPPb3iXxSs/q+nrG4PMBWeI3yh3L6/X7ZsnJVddOw
Xc5L/6FxQ8Akv98h3+lo3zcR5U/48woAcfipqos3mgwY1kVTvoN3CyOyFrueakM7d5NC3sTGykkO
sYCH795tHT9pVn7/m/zrdWQz8911AMzXKK8sulBMUrX2YnQ+//oCEsfwy99Ezv7fXSGii6ALnqaz
Pjmrwbx3OERiRPAUSr5hTXvO74anWuxEctVD+tOSVxbViGiD6rov0aMxVyRIw4oQKpGZakIevB0h
pkxe8RcfhZQz/PKdcmO9f6dGooTAzeVnYaxZbjn+fxADB2fNPI9YSQn/XiXzFwd4VcN/unbi//qj
cuQFfvzSYYJbNvUmvEn9h5ZgyYSjH1RnPqNGJXhH81pyGRFFctasMQ77HppArN0uBEPibC0x3mj5
aLPiVUi9VGXxW6brK72mnNz0kXoYvZ6mSF486oVxGEO1A/inpNr9ZBTp1sg88HUhmTxlmq5bu93X
9OzwvG60fg6YCBNqfB7sZF1EEAWovUHWbVsQfYV+hbcLluNjhw4i6u6QzZ0MyPotuS4DLW59xI1v
kTK8cHRM6yADZV/TCbE5Ty6Uqcms+QI/taMW67Hezc1jl+Jlh4jdjOVR681rYsjSqdgOGEvuCwtG
oLEY68q76007IFEN5TeHTyuJTCxB5EKrLmfjKsufGGCsioJmv2eFnUyN+AtX0pvP5M9vCMn89w++
+cPjMib09fupW87q1tiF++Wi/2BscS6fyba+6HdovNcQ8vx5Y/gHNMabKpielH226bfq1j4lm/T0
F7fMT+6Y98vEDy4MM8+FU8hbtsr2VQbYJmgRJW5IZ/j1dX52Z76/zg8LnpsUSx7HXEch5exu+tzI
vBifdiv1yK+vpH3fF/+6Ir1/CH4sCXliWsNL9HNs+OkVLnoxoYAlFYiywo/OHId+fcGfrYDMSalD
CWfkhPrDV1rQKnec3NDPI2K7cvk0KFe/vsDPFsD3F/jhs1NLWY1Fun7uhkC21kfF76a/ykv4q4v8
sMp6k2cvQLD1szccl+bQ23e6/fHXv8fPtqT3v8cPy+PMXs3YztLPMNmQUdL+tm+89NJD3Pd2of/0
ue6UvLRVV33p/0v+5Jeqntskivv//v6PDGV+v3Dw3D9/9wdibCBEXIvXdr557UTOS7/uz/Jf/m//
8nep+x3RNP///z1/htgWJF3fJi8928uPMniDMubXB7vTM1KLn7/w25lO6ueBacM1IKaNbs/70gjv
jk5n2SJNFB/Y+zOd8xvnNl2murG7MN9/d6ZzZD3FbmP9h0ojTyfZztIlqBim0PebaCdG0RT2PJ7V
6qoltmdOneDdh3L1dbV9XxrxTn/YJTmTwnCy+A2JATB/uA/pTWeGcIQ4d2Z6SJwHRT17MBHMnRZe
jcMlkrhfX492119cUb6jdyWMZF8knNwExmNSMglmQ9s2v8HSKslNG9vKPQw9ml9bUtU6e2OnDIua
cAqtdV/0zjqVFDZgb/reNmC4zHTTA60DJ2i48YVVMS9z9cyvW/XzoGRfvEl5lDTwCh40gXomUU9R
O/vlzMDA0GN33eYwmYsoiQC+2NuOwKeNZTkGY/mk2obzVPrJREaX09Loxg6E415P8L9AUxXJjTsM
pFob1cpJhgulCfmWUjgZocvZGLWXOaOntMfrECH/ityxXVVpV0NM5eAioFdFssrS6Fh52koYyn3L
JAP44cdhMYCQxrsB9fNaAwqa9AyAavcQJ9a0iu1qBPTQdngn5lMlnOXW6Tl0c87mlHlbMRTY2dQ3
KXiPXQMzqb9e3goeUbQEZOfs472qyYDQhVNy1y9QKIzmE8C3CxvjFsiXi9pJ9lOGicsLobhkl/Ni
f9BylP7yBAfVgVh4QrVIy/2cM8daj5Z5mmrzEIL4HbL6og9HYnvmPXzjK3Vp/DJsONzOF+M8XQi3
BeC3FKofWeOxG9QPDbYN06zk5G65B5kdrcJiJtVPlFdl1iNZx4u0ZAeVuN3VVNuwdXqmhc1EZjSq
FiLUMUx2qXPf9MgZUkWNNnpRo/wUY0+bXmf0i2rzIgdsu+mIhM6Lz54yns3YvekEyjENOx1AmHaj
wc4I8+RKlMrtOJTkTvG1wLldu4kHOaP/7MTYtDQ7vdbhe3iiEKt40uDyyCpqvu5FxbGXut8eze3Y
DhsVb1Vvg0DR1KCqqtulNK+KsIFtPTGu6PNsuJnm+IYe7b5FdQoa8NHMSn9yrBYWCDnvadJ+KY2B
u8ljBgHJYKFCxKEORWR4VcfoWELNaUwNRoPjQVqSSa5GsgYbjIIuuiI09WRaKaLzAqGntc6d0hdT
eOw60geRHHZLLyE4lxh3An1U9qphX89u1MP6Io7PMMNN4xkPZttBN8E03mSkohJZNe8ywOb7Ni8B
ScASMmblkHXLHR0Gshzz/jJpq9t0YJqagsQSIXWGcPVnT6TPqeOeqiYnYjbFGDN27cw8cSzwtw3u
7m2Z+U/vetvX6vK5eO2+3+X+L296JlvALzc9iZ3Nn9vnf9325Ev/2PYI12bfo/FoYSNFAf2uI6Dz
V4jI0Kuh3tDf28YQwbnE0rDjfdWBUBd96wjAneW51yFKcJ9Q2PytEQdohe82CbYjV6UnoaIMsUDc
4r7+fpNwtEjL89aqyJFCsIWkSUrLiV6a0C+s9CnS9iNQ0Nwg/68oaUSSSPxUeM6hGEh58fptlTM/
pbeVWsp5URiSmqR05wT0XpDsVp15tB5m1Xx0vVoN3G6eV67Sr4c5u/vKzOkXCGMRR4Aqda6nCN0n
iW0yihMOCxgR1yKHWCOQGL/REHgyozgmz9PPLBalUu2he5Evt6QtbOsIIgpQwiWsiF6TucdCJiAr
RCFPM86ceWZUazMtDWLJ0B8G9X6QEcrpvB51MpV7z8x8+y1nubVeIOXFfi0zmBuZxsxsFOPOW0Jz
mb54ieeuZ5neLODtYmiK96w54T6XGc/k1KyrEiObSvTm0bKU8QKmn7cKCcH2zTa9x0uKRDCHA8sW
dq4YycrY6NW4mJveFndt0jDAzpp74g7ONXTclWHAZJvQyhtNKFbk0omgVPLaH02VqD6iXVdZI051
nWKsm6t8swzKFk/wAcABwPmBale2AUYOoMuo7RwDo9OcJZ8HzThF5XK56ORDwmkxmIu2j3mv+KGo
pK+nvhCxi+dLRVAYwflXFoyqlcwT76rUQGabGkGu2/u0t6+zcI5XBtDrQF+idWMW7mZUqpdGB92j
qx3CaNQhjbKFVoyfKjlTlhwNY4F4anbHZuCeCUV31SQ2wbEAgHx1IOfc9AjYLQl9SMW2aYyTY8Wc
Sb1K8UHXVhh+yyCrlW2bKhy4qu60YNJeWfDJWQjtG93WT16dS5TZMPlmQcaqDqBsZVQL+jqz52SW
qTATxpB0zY5mLKiJIS1PkRl+nBsSKXPFJeTXsAOrVx/MBhe3QdikBsljbno7cJPoGpHFhTYVwRJN
l03nfW6J4CLsreMz7Ox91CTaarGti15056TqGuW6qpx8eZ2nnPzMosDMXD8gY2mQBWHDwnZ1KkVW
H9Lee6oy9QaGIyTbGQs20sEl2lCPBXU3Hrxe2bSqfqzy+DKpqsOUdpeEKl4NJdQyPIeC/ViMezu0
viy2IqjERsPcJiJ08KuXw3Kr28spaqhstJzQ3khWO6Nhc11zW+ftdpT1EIp8tCLGVWs9dbJeKoR3
X7JT47c8tjpBCqS37kdKrKhersSi78IhIdLIEtcsdquWokzHcIW5ADljSMFmQCpk3FOtMrc/VpR0
jub44RzdLjViVFtWfbGs//QWB5ZZAPv3Io0CSNaJBgUjskhCCGQNqctqspJ1pSK4cwB1MvWQVWdB
+Qn7/tExyy8VZWkh61NkqQ8LpnxLwzA6yRrWktWsKmHDgJg/uRI/jFP2BPCIZUJVrwqJKMZkoJ0R
JLwaODthD4+vQgKNC3u6QYVV7w1YxxrM48ZUH+fEObmwkD0JRSafGXenCSh5IpCklOjkDIZy7c7b
AaayWrdXHoxl1U43iyxjLOjLqcQwk0ywI8PDOzgQml0RBlx58A3PvNNUIM6xxDkvDWDnWiKeG0U/
TRL67EB/piDdERSQ+KUEQzvgjnSJik4kNNqCHs3vmmDCAzzqwUONJWK6l7BpmC5rBilfIu8lwfrQ
waTOJJxa5xGE6ZRTPblXRa9vVAmyDiXSupZw60Firsch3cYN4OtEIrBnWNgJP86VcGxLpm1Cy45T
PPO2BGibEqXNFwpUW59uppIkyKKOA5jZWgBKcQf5CRS320b7CcpnqDDOwMyCCJFZkPNR7ZYEQCwo
qQmqd0S2qBI3tzq4b/oHrR/FtsD/AwvcAwqe6bhClY7Ua8thctQ0p0gSxHW9vhUgxZnep75iNFuB
D9TK6stR0sdrMORRP92oc7WGTztvGP8dK4Dliga5PF5msRmBmWeemFYk2l8XsZOul5xR8T/11NuM
RbrjflFPEXZU/KyU4lV/lFJw+lG80cx0pZD/h+GKhS7fRabxTUjybbiCA99CX4I/QJM1jnwb30op
FyGJQdeBmQjyQLAwf2cqbL5J///ssr61AImeN3XmHy6Of/2HriZ7S15nMHHPugF7d2O5bG+oSsRL
m4r1YGbTSpW+Utr1JWdG7yHsgauF0n3KMfhTX+S3jvSlUjMGou9xqmJZFYq677CwZtLL2kpXa9IM
QSitrqTBfhyl+RXLWHcsmmbfDFjbl+Rs9Moe2N+pQ/WvSQMthwO2GAJDVk7n7kpctsuoBA760X60
K7/Ch5tJQy6bwQ19+ydPWnWtrLyeM0WDw6PcKdLOG0pjb4PDNwrtY54+5lh/R+kBTq30ppOuYCgE
mGetYyH9wvBqt7N0EKu1eY6lp1jFXLzQcBhKcXS78HPtjceEjp8u3cim9CVHZXgapVM50pUnphpr
TpLaM/B/ojuwNS9d+5Bgc45INJaeiMZnBbufsEIL6YmuMEdnmXuapVta43cIsU8nS/3cST/1EGbJ
epQe61i6rUts16H0X7ducT9jyKYJ9LGQDu0Mq/bkNtv+zbtdFDKkSNu42Lqb0DpnOtWkheFbSOf3
vHgPqe1tBJbwcYi3qvSId5jFS+kaH7CPu9jIR+knHzGWJzHJ3IP0mjde9tBI93mW9Y8WdvRRamF6
aVDHqA4vPLogN4k+pRkHJWb2sRPkFmFv70JaEB2Gdx3juyod8K40kY62qNfM0j+XkXMbhfMWQe60
Zis7zJX+1vZ4RWd0XOySPk//gf+3KyuWRXNw2Uz1pFvFaU8UZppfeFNxZ19UWobWCd6lzfMUoL+N
A0d0Xwqt2aVOC1sXqymDmgjQXnbSRLOuK4FbL8NZNSjdrTa0WxRET+assZEz5sbef6R94Pl9VaF7
KAtmYvG8aTqoT/2S+wuT+Dl20BWhiPSzpT3VHhzrtAiB38zGVo+qY2aZm9yjO5B57bWZjYc07lM/
bufLFkwLjYBjD1aWAXrizC8iqtoPcdlLXYBX4GBES3qjS51ttHLbQrlWa6+5QZMIO0ebEhAV6iZT
YqTgeviFWJ7X0CI6M67ANqrEETvl9NDZ7ac+Ewiiq+raiQByxtm1xvbhAmH1DdsL6gmBguEMAUaU
duNa/aVm5Ca/XL1uHEch2iiFuj0RDE46DLZAZ/FTCOJ+nRRBX00bw56fJ1sPmmn66IawY735ni86
Xrmpsp8T5aJs4m2cKfuS4hjcnB+lIIvJokqLeZO5yIwnWmKzuRwMGKFa0waxNUeBXkyboXAxuyTp
BTgb9v9MX3mTsx3pNhV1wRfy0Esk+yQkrdUfoDEzWYxWWekEc9EFceI9FinByV0bXwzIX6hFEo/k
Z1sQnsUG3qiXyNBfOroyKoTjeXKQnZpeYNTzyRTpHpkXYy4dQbE+jny3Fn065qdd+wJp+UwaRNCl
5p2aRHjtZyx7mYOr1CrXZgZBQcXU2KDF3miZemuJ8LWxia32hmLfo9DwO2fYaZEz+UpDq80orkKV
gjomhy1NgOMCP/JjU5xGpzxOIFBBAmFWiNwnkKQrWkc7AbSkndUtDmAcmsMHVa/3MsEc7ZqzztKc
9W8qlVVtVzeGID8sWVo41RGC+XSHnByWwHAZ2stdg8i50fvrUBeHthkwzdL/mbw5WBZ9Y9vt2oAo
jkB+CEhrW1iFjY1n9Ue1XDYupErfI36hqdVPedjpq14XH43Ezf1Rt4y95kRXWknQcxRda4t74bnz
4C8Qfzf2Mh5UO/PRk0N8ryOUdkri7Y3IEkjLpysjV0hGm6+Id/6CYHlTFnXQ2f26a11lA0aoBL/R
n+e+vuod935KROwXloXNu7A8rGl6/pjh+AiieviSduIIFPYhFyXHvuoi9uiwiTa5of4PdNpoVjTT
kdTqy3iaNk263GeavqDtyx5YgdddaV23SgjbRPWeFLv9MDXTkbF4vepE4ZCx4fq9Fh91+LjxZJ3J
MT+avTyQmvM+bMjWkEZ2oOMonLMH1NojMRxKqW2UhfB2d3LXuZrsdUuCSsZiCaYq/mwOhgjmoZqC
rtWevWU5a21hrCkXoiDStc1Eu2EVGs0Xpx8yxEbZqU8AVgja0QGpMB+qVL+qCv2GjuEIrNUESNi9
WKi+6ARTqM/nzgY4pbN+tQ4a0NIq76dZeain6i5PKH7H0gjqnHOgy3BhyIBkmYtLi7Lm7CxScd32
hFxZJMLsTEm/tmkTTITtwV39Cnb6t9IM/ftBmBwCI4plumEDQDAYcvwwMUSPpZkzGqKzdlusHq3N
cNX4nGd87/nupjsBZF1Xfr9LLqztGMS7ahMfrGiXnuLtPwXu1wKXD/QXBW4C93muxE+6hbzujxIX
ixdkUpyqEhtFpfuuW2iQ20mjTmp30DzLKKrfS1yTyRpuVIska4xK8CBpP/5e4mIMgwZF+itBzars
Pzp/p8TVHFnC/lniyuEVhTLVLaJH9NoWFfN3IyWNJo3IWru6mlrV2ZQDW5iJ22S1mOMuZnCzGmaY
AUId1TO/hHpU80IrIYc7GTkKavWYFGF3IomLM5RhNLepsM2dNYnucszC+nPdh8XWySEpxLlDZcRp
MfFrhgjkWmnKdNW1RX9u0tR8UlS732ghWnAffwD88DIsL7Oo9nBsxTe0V1g8NE056FE8bhcIfve9
O1tP+eC0t6ym4tR3sbPPRImMzhFKttGsuXowhMqEwuj018oS+aOl5uUusjovKOuwex5Qqa9j1YU1
0Hrj1klRaIt4qK9HYMS5IGyCBkUdDKNmDudYYTl/gbAfm0cN6Ow8bfoqE1tt6YXyakZeGl+CV6eS
aMKubM9OXIOUi7Qpvo1Tj2ndKDoMYT0tgPHSxcRE0EZkkmmF7WZ0HeQMQ00Jb4FtTo62UpJwAfJv
/kSAQlNghPBgVYXTkz3mxjMaVKtaKROVHwdl6zALe77tx2p5lj1heq8gijEiYYdIItxOYT1En7iT
Ep9taXkOu3h5tZPpsVWaTRklB8WhD1Fo9uCPVlvvlHqMWN00MW+z2VWOiIHmi6yaatpmHmeeqaiU
HG18lGy6oqcEoNsHPCtrPphOQuqXp90bWRPvaoV4y1gdh5UFAgvTW2ffunHNBq8AVKnVxr6cqDGC
Qq88lQaFRdB9pzJyGHLvk+KMysHI0U7WU3FGx60EbT9M20EhYmw95k3TByRY1MigKjgadVhi0nNB
3KuL/TGCDhAsnpPeT2FGdZSa6alTkLdqBNL640K+QJcRtriISTly83LIcpDtM90MH8GWjvdl2oLx
ryamleC4r+IB6kCJUjkPStMculXXYVkekJey505WFzAWhW8WlZaNJF1/9Wy6crlxcKbRuAarT5Wm
Vrb2Wlf1smnkjMgjmmXVj+7vEdH/DG9MNr9frMVV/vyzbGX5qncrMYushgnXVimvJJT2DyWn/hva
SUKZmNBgmpZ/9WezQf5TqQmHIwvxm2nKu2aDAUcUIacJv1SGPH3TbfwuHviVD1dz5Vzmu5XYcaRf
G7GEzjKMovv7ldh0i7Q1hT6f3T5qr5hiFDeJVjuPVW7qh3nMsqdZIzDURZl3ol0Z0rIb4kCzhuXB
8cb+NlarfLssxMlA5AzXjtK36zJp4jVwkctc0rYGQwsvLIuDFoBKXj+g6giQjHImqQhUU1zvMOkL
JNM+7ndabWQvSaiW27QE5EUGL3L0ups+FnEcHRiVk+qj9GmglyokAnIOycyZHzydABa5QoWFcxA8
kSySyngsSe1dt9U4AYLxQkQ76hntREXSYEaJZjc4HhNrB61Y2g6NHupbuvQ6J6QU3L82migwi6BZ
lugLvcyneIpCpkKDn8jOOhw9IgTKbK8v3uj3uJ2vIi16VLMZOIjRbsy6vLaqRl2DAlS2vR0thyUS
xgGujrPOmehoStPt0Ql4AcxOc5vlpbkeYCvtbG1wVwk4vENTEGMcVsP10lKy1jknFUh3C345yJ6Z
W630yLtMDZbeYebTUQR7VkI3A/6ZhnQWa24wO2O9b+LuIPT0I96jaVWAM5BqhnStASiMo2bpZcZz
vFZG+IW5JBmGIA1TU0GTCONwAnZYvFEPJf8QDnV6mkAiKhlsxEaNKrBz8BLHkmEaAEXboKXpkDud
TdNWB7Gop2PvkUQDd5EcyjNwv6sKIKMadYB4QDTWTLgmyWwkAmEdSoqjLXmOuSQ7dp1FunFZHDug
j5YF/bGzx9uBaEoCLKmyofLQqy/UMyfoXQk8cgAimU7eqQYqGUu65CI5k3ZoX80hXXIAlMWS9Csb
JKVH/hZsQSCVcx3UQCuZrrL/g7G0Q5oMC2DLQm8/GSOkSw/kJQioLdyde9ot8F/DGlGo5GOSHA7I
rcnoqfugx8SLKbt11GU07sJquvBG9vy1g7v2QqMvQ3ztnFeH2iO5zMEhehGRk7H/pzD+Whizdv1i
MaaX+dr+pCzmVe8WY5Oylr7pmxtIirX/WIwJyKMV64F3oWxGfP/nYuwR6yprXwT3v2vn3y3GrMBS
r4wSX8rx/1bnlwbvvy7GJkhx+szI0Thj8f7eK60GvdT7RvHmM8V7t1GVvFx3jBky0qncsDm6ajoB
Nx0sQlSssKxP4yhu1cLaWm6GPKRd8A7GqnUxlVOzwu7DXBkAFAW96uez0W10rQf5WY3VboKuda2b
jKVts1eOxRxZWHGrR29BnKJY6kvJOAqlzXJdJAhrw7HKA6UeiB2NnPPi5oNfVrA8o9rJ/KQaUdm4
PPOCuE0MsPp1Zij5figQyRRowNQ2tnaKMwGIMcJuj/u+dOGZlJaf1NmNqbmvY9bcVpTrdTESV6va
yj6dlOkQeSTALb1Xn1VBc1eXRFB+SkifEGngGJi6CDo5AgpH74SkfNUY5JRN0XCtZstDIep7L22O
YCM+os7ZpnXBm11G3S/d9MK05AGDZutSu58XLyf4bc4a39UHgqAAqaL/anxFAGyMbazteviSUdFT
U1Y81x37XHNCxvCYJiTfOuR4y3w2oqqt+dOS6Jca6fbr0a1vEshuvsrA173qDFeZt7jH6b3EXC+k
RvUbxFWu1q7butrqkF9VTgS62h+FbFG1y+vick6wnIHsEqv1ndZxqQIZkZeiqxlu4rlsXUTkXkQX
b9TND+SinYQCpqIx6/Uw6VbQza+hY6+ZWkmuYCSR2l+EE5EJn1ll0JsLKcFqnzN3RNjezjZk6Ubd
IQK4jtvl2W1AcGg9KU9xXtl+a3a49u1qP+j9Q5pW10ItMJ3Z7FMye35pcGpAzoyNcis0GyNa9KEv
a2/VF90xavs8GBSARa7N7ep2iAWTLEI6MRM57+QljYOiY12NaNQmjfeAeekKolAD/dY+hqPbMi8n
xKa3kmfqAonkrJ6dyWjRExM+1Snhsgt7WsLwRLJ1HRGXUegQb1VtqYPJRMaPP/vWCR3uKeaZO70o
Tj1rtC/KDFkFWWzMROAwUHIdaQld21pMLroRrsqpcNcWoYaFre+w+cKmi7zzVHYd26WO0D/WiB6j
vLZrDd3AGOIHz6dzhVe3ragqqKJeaNF8SAsDgMN4lZoC72tUvLJIXbY6fcp2dC+H0VLXmBuQK3bl
cOHN3ZVRG5/JqKSrVcc7g1PZmHqXk17eEoWU0ltbnnJQgli3rIgOcZpu6ogdpg/tp65qEL3hMabR
+pouQ7Ob9XC7CI4LaMNsaLKy6xklt1UcIQyJknwNQflDOVYf8OCCbRrM51ZNP5Y2rXiyBqEpVGAI
mAOfROU+pK1C2ttwcL1CJbLZWttxfQhBYfgoPshb1rQVh8+nvpk53lYXVVvkq9EhyTyOnMd+od7K
IsPbDTW22q7AyjLCkV0hfDDPela5StBYS/LVifPPGcViF/n32+Lda/z8s4GofNW7bZHDhA4K7Q9L
2R/bogGtnJOLzBLX2evQBn/rFsEKIrYcOAjHB0gRxp/dIsP7jXM9tlq6SfKI8vfs85bGaPX7Mwpq
b/xAXAttNbrvH7pFZU4jiaA39zwANe2C1DDuI0vdpWWpQPaLUNyagMKUYUZZIPbTOGskmev2Whu8
Q29ltl+TdbSJ0vnOVSrm9Sm3Y6klUEztYp2K+iXSJ25ZWiqwPgnjFEpgKOKhc3F8z0U6bu3WDgk6
ntEoTQ4x1zpxtM7QntjIBeBqPd5Mjvaph82jhqLfwfvmuU5lQKhk2CSTuJm16dohhva6IWEBFdSI
bScvBTND6Ic5sa+rSHjMWzwWSzwZa3fKNmkklJ2WQjpNJZPFFclnrdQn9rwBIVZfpgMNbCYr6GbC
VW9kzFjCUjuHOujySZT8v9grd46Wa6uayy+SCNJireUqCUAwyQvBiE95C0IkByWSghSZQIv0LXsa
he1zL6kjtuSPVP1grYYwvSH/1c/s6jgosGFb20h9NsB5u8QwyFqQJq5gmte+UU5c5b4Ge+KBP6lp
d+2tZrlqR/LGGG99QAH1UoFMgSoqwyDjA76wK2zHd9EAXWWkDBjArbRgV1TwKxbxCqDfILJA1nGQ
FlWP6ZgfbKAtk6S3zGBcJslzET1ccQAvVum91pL4okGLBawCBaa0+VhAkyDckpiYBPreKpPoGB2G
jAtLBhFXAWGByQvcg2nNuXRk7Al8Zum6D/bQPbn2BKJdr9ZZlGBvjhKUfbBrKgmxKVRURJNrR0EH
4YbIMJ+ssMHwk4HIDXzPqIxRXhMbJq7qjuhS1RlxnS2cF+r+kRPN5yIqzU1oaJ9rekeEzsf9oQx1
RlsuwvbSGTb2ZITQa8nazLhdt4L0LDJzTbQsiUZ6XG0aewUw3zbiRO8bbsWDULlf5hSxc9Z9MqTY
1wtHZ62lXRYIGy5VWdu827nwefZrvy6zfJNA0bFjgnVpTUKdT3hGQpChDCziJQi1xqc3RuriPGwj
QoCD2J3OxhDudKu8YrB1tjN3rzBJEvoeUVo4njx+Zmf2tzXaet+eHfZz+4PjFeesbNgSjHQO/oe9
89ptJVnS9as05r6E8uZiBhhaUYbyvcxNgXLlva+nP1/KdMtwrdk9FDA8wOa+aOwlKVlMZkZGRvzG
DftlpIDUK4KHKq2/W7EP/Lrn3MzC3JlXllNOM8jbkzrEQD7KT1UV2RgpucEXdRUV3klN1/FQUfGS
UulNxdjANgiPWp3Dau/7syRWxyMMWX/4VbA2TMqjptxZq7CwTlQnWQc1vneSBlywwtA5i6KRdAYQ
lQfHHc8+JVg1YXCiNsEJOKMfsUJmbdNCn5iKi/6u8a0pqzM1iXR6qZkz61GEmeJ3aczKFFFZjjsg
mk299HSa/3CUaCxSYOlM99vo8nxF3lSTMUAup+bv6B/35CjxLA+jlTuWD0Wq6XNaQgI8quJpDVEd
y8AISxfajm3tf1Nd7aLuaENrQTNQGaz0WdRiZR0V8qOB56seBCeBj4ZuH4NEi3EPRefpx2hq167L
9166mTVFXk2C1KBc4qRDpRIqoqelF6qEoA3twUfTaXAnpSxcpLY7R7fnogQW6KbqdetXp3Ir4acJ
0SEAfjJxreQixliwtwLpyO/im8Co05lc90fmYM9xEB0m4IKNKX5T8dRM0WeMdVQnR9k/HdNOmiDh
3s8won30RvcaPQNQdIrwSgn8fNn74X2ZU47PaATIdjfOhMDcNKWXgV6SNB7Wdr6wOktwLMeLAazr
XGprkKyOd9UDsm9U6dBx82PHSVqKM+URJCHSaMX3pkWRDOD1zQbFazgHkBm+o90mKKQb8s2A8oSP
eCvcGpKhG9VoT0YL5gDV7rne6osy9OZtZh8HeXkYVm59iJcaWPnRDNBalpeDpdyhDnxqeMTs3tHm
ZujPC6V8oF93WvfFZuy9uRWwO6sBSqGm/MgwGnAjG+VoEKVuRGpcA4f2kKFrWQQy8UjjpKDmbc+A
1mDBOljXMFtOR914iGoCZaCZ2byNrUM2dz+px+BU0TpkOivnrMQvcqnqHY1XmJJ2DLnG6vD3blVp
wka7gGZAsxl1MgSLvQ1nZznPAr9BNg04mwwI6cy2QbPSCFCXZVV+DyLlykAWbEo57Aab1h+IIbmT
krhAOY+lEVu5QgRRFqNq32qu3S9LpwSbkN2WYYGOjJ3dVy48WSfEbhwlunGN9bCBtUhxzpkHgoef
dbl/XOMdOUEvm9aulM2dpLl3RZVItop7zce2LHQqsH4uaARMeZTcbNCRHvyFkzntzKNchUR0g4xo
TQRzbWPtWzK7LA9SUKXZImu8wwHqMEYNtxo2QFAU06shG/1lIIU/Iyu/M8ibNT9JlpCgl+QRfAdu
e6UYuQKCGEjHKFkrBH85ilPA33hNWuDJUbwwJaU6A20+84bkMZKjbIpjwFlvQQupJO9E1gLapnX+
aEupB+Ld+dHBSJ9LRQI2MTVxfjIM+vTSd7lo3IsSo2iieeW4pzoAIT/QDWkaA61eyXXkFOssjjNA
J2UgC7Fw4F0jhsFO4T+TgP+dRxsksL/Jo8sA6aThc31J/NlfiTQVfcpBOOnJCBdwFXxTX9IOABX+
XXd6zaKVA+h8jgWoEGUoUi4S7NdKv3PAvyODQFUKdgVgwH9S6SeP+5RFE/KBJ6oO/+FRBM3vDY0P
y/DeLHD3OU+VXNdPK7UhIg1NQAFpgvqj6kz6nuK82LN39NZ+jmIHgHK50sWe0KzbocXbJmezlDAZ
CrF7apuaaaNba1nsLEnsMUr67Dax74Bw+AtV7EU/99aS2J1t69fT0M3OqqG+l8QONpzuXhd72qeA
2ohdntnBcS/2Pf56pxKBoJQzY5aJ2ODXZjtDSzBG+6+8lzIgduScwr98MSYRevkEGYlg43e1MgHR
eGhZ9ToFzQ82TuiGFt0PvF9u4nqIpyGRSzPq7x6oz6UjghqGqOaZR+99DrulRr2f4KcQBS0RDisR
GG0iJHJxZ5lO8uKP6hWsvGKCXvJFr8pHiWw86HWy1MpuU+nBsa4OmBdRqushsZVOzW87h4lcfm8o
e2c9VLA08r5nlfndCakzg+jWtbvKce5KtTorx+CbkfV3EQ2aGWDVEQqLeY45D4h4oztM/ABRxho6
+ijh6wAN4wqVvDWCW+sRdodwsMWXUEWIz8BgfRUqNIENRRi3yPq5ZHTxMXUdNAQkn/5hrxyHvukt
Ufc0F4UXn/pFI8/tqr8xK1rfHXBCRNCP7KwNUchKzvJBh+MfFRD/81RdDnWHb1mYzUqB+MmRHl5G
ll/iek6px2zdfm40KsVEQtXUGtTD0uv+dG0L8Znm3JQbmLJpN4WmWCxLPUXKS7WRb6evQgcED4zO
m2CKQ0VCLleJRA2sVCVMnqkkTrusPUbZae3zVfCb5W0olZdma5yDJV15ISguUw2XeoiIQq0fOkqf
4m1h3tQoKMqJ92eV1Q/cfCUggiq+CEAIwHg7/sJuxu9piFG9p1LUsPJvUoN6aFx1NxKxesqfongU
S8Vca6OrQVKHuaaa8IaU7DEhL6Uemp8CkDmL9MGb1ENPQynrTpq+7ea9DZ/T6pAyksLSnoVZoD4b
Z9QNRBmt7De1m4czhBIB7ZfY62lR+K2JZlYc3Gg1mms2iNo5e21GP5icpLbqZVrRz0HeNT/sFdXF
4RQn+7w71THFmSUh0omjJF2gqOHPh7QYZ5ZKzptSGsaVwETumvJZ740AWLNNhPK4WGtXunaEdXsk
Y1YneeVlZlVzbejDGZnk3NazP6mGP8qKDDrK0h/LUf7hVM6J3MXrfBighKBbB03Rn5sD3PghKS79
ptrEOpIiwbBCbelIxzF8WkLHAoYP5QIhf6qYw6NalT89qTnusvoizqXTug0jXKLq2Rj1p5oD+UaR
0UQ10k5FIxIiaeP47bSs68dcSrhF9506i3trExTlT7DaFMYyKcKxipQdRSzzqG4GGkeGZMMrg0nG
2YiuFmlQG5t3NZrIUEXVYEZAPsamu4ey0zQLf2yPaldrp2rpXZp+vwEHCARVjyBZFRVeRh4Mh0ov
Ds0EaifgZLz4+qvaQFeW7uA87v0OS7RAnaepUbLpMraEbZ7GJdjprHc5tDGj1xu3x8/Fu0LC9yzL
nSvH1Q+1fkCkOHWoUg/xpZvnaw8xmYVX2/H3ssOK3e0gMMuWCrFBbGwj/IacGc2ttosWhFV9Sl3i
tk9BfDR6gGdWekRAvxz0rD0sIJfNOAAuwNyo9BqNWYsa4tIHNDltKw0zLhNUhJ0e+a6pT6MiPqn8
9iIwdDqHXBDcgEq4lZXKPPVi/rZtrwwztA/HtLmF0tWAMygRbk5VH4eRQsIBTHp0dPJ2fAqDJSiU
i3TIbk2NvV3Elk0d2yaT6UlbQLikaxlx0glSid9RGXOnAG7wYxh6E/I3spw+EkcYYKhLI0/lRUh3
dRHX2W3jALHLWUidmy4GWtkTha+ckiLV6E7TcMjo4RmDcWJO28BccT+gaK6ju+KTsWnYgzFL7Y0/
RBcdZ+K0DmmvBkYVTgzL8KYINrLcbIubc8i/0QChWSGNHSKk4SnSLRktEqvDorPrJlJk3uBwuSzT
4d7IjPPQyx96yDEUXcPv4m6JUKHE0mvSE0Uzi7VloB4ooEyWlR7KirKq47yc6oPazCOBdYJ/G6+q
sbjRVDY+sqTfpEE/Q9vhviviheOGNxz28nFgVlwxbWdVBd4ZyNxrZ4wONYmiq4VY6SSmMguctzt0
DQ3PyaGaZAJ1BTS+namWdRf0mTRLSqR0CgEXGTL7UnGTYm5wm4VF36fzPEfzrY0bdyWXw8aUWAy1
36oLgPLXfcpF13alo8DzNiWaBx4AaFjD+TIrwDqmVn6eRbCLgdx4uIgZd3kIBKmpgx+6TGkrLMxz
Wjx/Zgj7u7lwvfG0x1CmWqG1gCFVtQRP0Kf+wrRiAbSlIyZnA8svpOCuBAMWKqPyw6zaNeTLYA57
npq6RNT2B1ohoTV0pOLhRk7V04ir1rQO3JDMPT8OBMRGr8vlMOrNtNFEBVuODkMYPNPA1jjvai6g
hYqhSibAOaZj32Oj1iNV7pULmI/yNEvadpbJA7WDUURV8xvwaGXiecjPJYV07ZfdDcUULjuBM826
+KSpFNL7hjaCR5l+pur+VW1axRyPxFXjISmdyM6NnjbnXtw5U9hulKFyCZ1qk/2kQdjoPSmeQUFc
SWROQoVPBtlb3eZect6rnOfMFkcIPHIKHVSMgocOdpiUm4+mDAFDszkEEghhkRNhVwDRTI3Vu3Yo
jx1O8slgGXdoXC5R3StnqadgMqjhyDO2+rQ3o29eklTToi/Vqd2Y01BK4HDcyjZ3GSdBvFiXsonS
hEe5USrILYS4AAQZkNuSn9nRDw+hv0nShdcKl5kJahKXVuKguZ1kK93pvvXkXJSfRjSv8iydF7Xm
TeEBQhmMCj6OXgTUXkq0jjId7xqqdvYgSBYFHbauewTdQl0NJsvci7SF3Dbf85at65fKReylNKUG
7VQzA8pxRlhOmii/MgO+I4POLullT5wu09NeL9NFaWKbY9d3QOGhoQSInPW0UpJGvhlxXuyH+FrV
pWTWVYRUS75t25HFD0B34tRWN8vi5iSvykUq4zQhD1VNOJSxoTPDB4fc2G9NzDT79GFMyqPRodrp
leNKVdPveAXPatBjeQutriLLsyJCn1+wMn0HSeoMWs2saKyl3JePpk9KZ2U9AorkfG2IHwRMmsZK
Vy7Ky36Ublw7ug3r5kzXi6MkqJWZB3bfbaFjU9ZFdsq67H1l3hvgINwiu6I8cJjr+H8btF/kEO1q
DQ1ULDwGDQNfpPARdj9Bj2LVBPk0NuRWPapCZZgWnqVGF3E6mt+HLDDtdSEB077AUTxvZ4Pg3Rm5
9Gy5/u87qLiU/foO+ieCOs02oQDxZ693UNxtTE1VgQVyVjzrA742cxQ8HJA1BX2CIKr8zvhGP8BX
VoV1pjtPJLY3zRztAMcH1aSRI2RyBEztHwDOBILhHdxMeEgoCsB2S4H1ogPOeHsJ7WXELMsybdYj
lyOBh/FoKAd2MnkzL+fPA74VyVHkTz0jhxqUrWPWQw6v0vx//0ZKjGGjiVHVWm4M5ybysb7DKi0e
xkPaTFwjtDpt9FVF9ekKbim6o6aifwtty/uRZyEKc97gHCuWQJhapdGfEzwutSFrs5k5eCjat1FY
aT/bvjDt884t2nYRKrSeWx2FdTOSYuS0YqR4gjzP1DlRv2mntuShqooPKjs9Gpy54PXJsyq9M2K9
W1t6Hp+hhJzHUyWHZbHI3F6bxi21t7jKOMSDLtPO5FYxopM2Ds/KOurg2+BI7TvnmiI/GFV+nxbe
AjDrtUXDN+20pSGZwApkPgX+E3AV3IWTzI0+WbnDUMy0KKFtXiqzeCgeffTmOTfXipo/Nlp7FdOg
nnfoDPywInC6DsT9U8nKS+jphnkUB4CsnISL0KgiGyZJ2qMeVumh7vryOq2xIkpaBGaDWDIAEQt9
PGddpbD6qQNSkQtGdVmn1s2gSN9jFeJiFvpQyOoaozCEdZAj9XDVmQOgwWFDF0NAHVYis7wp9Rrh
aNNO/cvKa6V5A4pq7vQy1tiwCJlFlV51FXF26VI5zEJjvCzw5z7yJUV59tv8NRFCFEw+rGWw9TKd
KbycgU+Kgsubgkox4BbrIY60rubJpiPjvELYZwLxBvpDeugqE2jJc4DocxCRE+NIX2hzyO3T/1H7
jKrSm+dA3FgTGE587A2hm4mP/PvnMHrUaDxs99au6h1hMdFPI69woa7oXD2tyJkXmB8uStWEa+/a
8qlnle6RwndkRkUyHaxh7bigKW11/Fn3mbOoVOo7dZ0vXHv8ifEagoMu2Zw79t+KOMdmoSyGqVWh
2kCFWgUlxJXA8Pv5oDnLToGTim1TgcY48DrncNToN6rqUkfxcYKWsZCbhc+YpIdkgLNM0+nzyPm8
67wT1QVaF6UQuVsIV0kSIqbRFuuOqvmy8ARjTPNuPNBLipacNr2NeaydL+WIhWY5BemkHF79Poy8
DyLMLDxcExVS4qWpmZrzIYg4IwD4PHHLtdwiGUkgQNmkxGkeK5o55o6YahTe5vdv+cTu/XtVfX7P
D9+m1MMtaBFMXxeehmET13P4hxBWrUM9aVDjcbk1mwC3LISJjJjsglvZcDKWDdQ+CQ/twP4uB+QG
bSU94oiyQHryVM3MC9kd7wyv+Jl0QTErkIv+t+H7s6gvIt+/OZN/NLd8wxzMFIdX9//5H3//zeuB
jN0SQAgdQD/ycwrQwjdFYYWz2pTRW4Zz/gQffEVXAKFgvcFRF0SrDyLk9oED80px+NGTFdM/qgtr
8hbQIRBzUyeIOQacoQ8LLq7LWkYrQT6rAQDSlcRlB/zesSo1qPTYSg6MmT0HsxHsUeRWiwyphWkN
sLDMjBReGuWVAFvUk1LgD/UnJGJnLlugibHd56flKE3zFrRAbd8pbUSFKenAXCNLMZrdynHtRWCh
6YM01RKXSYAZjuhId/pNl5aHOt7V10TZZurl+R3q1Qh+5Delogvwm8ZR6xV38YBxQVZxHS267rDP
+56Cg7CElDGHVEKdgqcGfszsnHn95CDZSe5MUnCVjLGXHLCZtBrvzk3sbqEOKUrbA16UduqggJtJ
lwhXxOeOcKxMTNR3Yg1LFnewrJkbUBqh8QjvxcVoiYvDvMT+ssIG0zeKtS18MXM/+h6o2nWdOflM
wjozj0AWuKN3U7YpGLdq1ZhE1mRUDqEl3svCfzP0/cMIQ85Uhj1iqj8SjDrD0blWQkKvITw8S1W+
xghQBZigH9U+uD7MTdKpWhubocEDtLKq7/B+iJc5fMHCMGco/JzT7FMw4QwuAoeLuJR0dnc0DHI5
HdL8US5zqJ/p2h6D43bIvJUWVpeNCUG8J9OfjCW3PssETgaKgX5vjKMClBzE5ZqCL0y1qBAjAR8d
2kC95hi722eOmg/LGGG/SWuGK5TtHNQzyge1ADaKV493IYkK3hgYdw5Q7nUxqI8x+Gr6VybAcvQ+
cPv1gZ+naQn+NDI8cH9JtEjjND/youwMtCW12Ng+Qx4IaIHpEBYHKrAR+kOVkh01pbqG+IKCGupA
kzrgnFEalJYUQ1qGPbdZCgs/zdz/M4qQJCob0A6qn5KfIMSEh59Ktxy8CJz7P60A9QM3u008F1Cj
BqA2lS4UO3/UfTiqPlAMpO2mKdnJVK5LxPvjYpWbyVFfG3Pd084GJTpDO76fOkKQT87Cb3Ln3hiJ
VB3St8umvmTdlLVn8NjqiZuTT0k25WC60iEMOPkyGeojuQuWRRReBoE3N5v4RyeXtzAqMpTlsCge
KHzYZdTMkA0Sx2lKPYnJNXTpCMCLvjRlIT3lDBEXeutELpQ7znptVtXDt1xTIdsp+SKvRg2YD/5G
Q9+uIneUER2Q113c3foC2WoKjGtqBsUkA/aqAT52gMGawGFDgYu1AcjWcrewSlE0FthZAPMZlACc
hgWudhAI23Qw7oXlfVeo8BAA4RYuhYRA4HIjUoQQoK4NYBehhBsFAK8iVRc8H31boL0OEN9SYH15
4Jk3tt3MAQZsCzxwM8qXOM/+HARSGHJbjP4j6GEpGqRVJhDFKdW6FoixDmXOB3JsC+xxnlB2RCMA
RLIrsMmjQCljpjwv3QJLaYFgToAyhzK1chsQ+LRQKqgXGYjnRGCfB4GCVoFDQ0imgS0Q0iiK0bLw
+gvssZDdMOQ7W+Cpn46Xf999DbKrX999fyAAt+Wc5W/enLPkv3RQFY5Hjk44p68XXzRjwTfKhoxn
B34feLf+dc5ymAJ8xDJIHKnwUkkBX/uvNrh/TRC0bMqmqiDR/oOLL0DFd2m64E3bMGtpIpKvq2jl
fUAx1iX8zlgN+zPoqUgA2ACf3fK6VjEDC9WBLgdmZtfYKsdnap0kV1XjloeSrCBtMLqooaMXBMgb
h7RC19ZwymQsWqF4D1aIshQkylqVzWO/aG+dpsuvs4HdSeG+P3c8L5+ypayp07jZtV61p6XcWAD8
nFmL/8MZCGssxbrUu0T5ANy2oWpzr8Utq1KUG46m+DBG3gCvOGzljGalDfa1VzTlotdDBLBJ1c/i
oE+mlBt+QqelrN7Zf6ajGtwUeped+pypi3p0kH2LuKwqTMFZoGBA1Mu1c4jOgaDnq7ASn2DAAhAc
C2hwno41NVR4aMhUwg0OSQya5KQBaxiBLO4ExLgGa+wI0LEB+lhu9HlkefJcBZccgU8Gk/Mns3ma
CeCyLCDMmQAzp5H/0wDd3Jt0VkhsvnlF9A2vHlo5AgrtgomuBTgasQM6DinSYqbnHUYjN2rJBLIt
QNV9ah6ZCKqCrQHCiTtIuKgFBtt3O3z7gGXzRYcQzPKrTHLXOsBtztVDTVhW6kC6XaDdksB4RwLt
Xdb45xUAwDVYCOBKxrWR8ZXWeT8rAItHgMZVrfw2AiKX3Jzw7mP8Brwcr3r8m3JRABfYc6lTV4gS
GyBC+mqGX+YZHR0Q/4lQOUCERWDYM4FmN4C15954oQNzBwSHJaJAvqP4hmE9+KupiQmnfaYNkBZu
hQjAsLJqQKyW7x2jgTiCGlNK7PsMGmcYqz1IyK4EjWieSQMKEtzFXAc3ermNj1DxLyeWQYVTTZQT
XBtDaF30kF1Z4WZs2MFyMCJ4ggqcBmlUL0vDaKetXdIQ8yIk/3Kd7kwwzIMEDT8srBbkRyHVlZFJ
poyykoaqQJQW7ZKODT6VWamal1/GaYosY6CvetupIAgn8nXqu9XE1dFIztKeBnpIPcUxaay7FMh1
OQX/4D4M9KYDOuyryDCuy9oFGJrWU9SWpyTOa4gP8arTDUROOkgFVmyuJLvUz6yaGjRFgHqaK4GJ
DIR+1UaCP1IbJzJkvKmDEttUloyjEm73kTJkx4UeK6siC/iWaiyWte+V4p5JnbeAItwvdI76uigD
GIpJuawGQBIAKWZ2Ed/6sbGws5ytzjbJBZkPDsNPfMyPeguaXyRZ9gyJCOXM7yABuoIOCA7IO0rJ
yuleueu2oD6PmfNcxS+RDEcQeriKoxDVXwwKrSKkmaEdDqONdg1URLmodYAAmb4cPBeioqAs5kV6
7AkS4yDojJUgNhahIi11QXbMoBWZEhCvER4kyr7f6cxq52oY9FOiX7SSuClMffiTkka3TBAqTZiV
hRV6jxVcS8dnG19Y8C/HUDAxIT+DA/3/5fx8OeK3yqv/RdoVPz3P6GpfZ/OPAu3/0i+9nlHbB3q5
qf5reu3yx5vv04M9Kcb/dpx4w224uUcRXlcOMGO1LJUT+enF8Yphp/fyY0lRdbRrcRM2xZnM6f9m
jn41C7//gJ+l7D+P8+uHf5thQEn+SDj8Vz4/H/Cvj69ZByQXXD4Q3Hh6USJ89/GpyAOHoBZO0vL0
2odJ4Jt4X8+gDva/mQnGeTcVtBxs0iLt+ZN+WgmoGFvwTIQWyP/9Qvg0B6K0+vRgf3sk/Cur4f0c
OCx2BxowzP6nl/jpu90gFFhsMkTRrtjPSdh9IdCEEmYLyKx//vQgExGLMfZ2CXykWv3zJUB3ztEo
s1FSfnpRDXy3BIgIVPMt2L/Py+3/OCBu2wcEsXf3tP/NJGjiJkZ/7sOnx7Wew4LmJZxk8Xp+qz2c
g+cVulssgNKG7/2vFgJlY1RGqccK18j9jAXcsHdeCDDuVRrP4JzF61NAlA+omxMy9edUZA9Xwseq
xf9mN9BDdBw0YLaHBKoXlBXRqlUIFnu5EkQTa7eVQKKoO7KDt4H5PAmfDgf5ANEwNovy/F57uBLI
aHabBM0+sKANUGB5ngORdb07HER4dByaPk8eeXscHp8X6i7h0TywNIWOtvKSGH+cCnFO2nC0bGVf
UyXRSNttPaC6p5MoUHx8jo4yS//jejCFJDWtwz2NDMInZOdJEH1THQjSx0+vH4DK0fD1erlc7ukc
vJxdu+wGm3sk215gsJ5eH++RwhRNmFwD6trTSVB2zxpVgp8K2IY6/dPr425QjAPccQgZpJbita95
k5Ad2m1PaOYBenJPiLynT/o5MAAsMEz0HPb2Nq3snkHjYCRjtEdD5+W4/BAfQEJyeJjQ8PY1b/ok
3fGPk0eOCJa7KeN7uH0SiAxkz/gl4nC4z5viJa3bJUgaBxpiI1yonre/2P/vTktSBpFoA8HZ19NS
mDnuGBkw+tZxozDMl5Pi041KoJEwC9OEJjDvtX95tLJ7nc084DummKhTwn16fV4JJj/jar2vK0GY
kuy8EtDggZ0EvOzpxff9bjsQGQwNtKjl7O1K2P2gZMuTL1gyFaWn16ftoAKmMxQTCaN93Q67Xyv1
A84HpGRft8PHlcBBKSICzjbPZZh9TZy03dcDOSSKQgZ55IfdoGADjPwVKJCXmLGvy+F5s+5yTpoH
1NwoshManl4fz0mqDLJJwYme1J5OgpAh2zE60oUAeMvVUX+ehI+XCSaBH6KDz6VKvPZ1T6g7X7Bp
UvJdsxrslzLDx/VA3oQsqgVlR349TfcycdB2v1LYEKToz6Ae+vxJib3vz0xRphT/I8/c61XxvFx3
iRLOgSLuVSiTPH3ST9m0Ci8MagSaJfuaQ+m7rwdCpcXlSX6tSn88NUTdBV1CYIf7mj684Cp2WQnW
AShI1GzMlzLbp0mgTIlaAtnDnm+K3U8NUYcDx/k6E2Lpv4sPhEr0SbA2EYr9exkkRRV1x6OTSYDF
iYz2L+pwouRAUVrmQNnTSdB2PzQ5E6Hl0Kp5qbt8XAnkD9TlaWi9JK37d89+qYLsEhlY7bDqUV99
ySQ/JVEUGxTALNDn9nUlPB9eu0yCdeBwo9CFZvvTa8skqA61CMfZ80xy95sF1lKiO4nn1HP69PGk
4JKFMzOH5f6m07vXXTCKhTbKNLxg/rasB0rWNDHU50na15NCCDrveFJoB+gMYKj7UpD9lEOyHuAu
Q2O09nUSXoB4O8QHAYHVhODBK/CRj/ouZ+C4NKnXYrvGStnLnEF7frAdJoGGFdJ0AvD0i4osaCdd
hqFCo2JPJ0FIVey4HbhSocwB3OklZ/gYHpkEU/R59/i43D2FpmkPxJU620tF9mN4JCaoJI+E0D1d
CNruGbQFdkUIenJTeH59DglkEwQNbV8nQd89g9bh5FFf46jcPgncpZDToncJHvrpta/rYfe8yeDC
hC4iF4Zf1FqAQXKGggXd1/XwslB3OSKeypBQqV6PiE83Kq6V+DJRfdvXWuzLg+02CaIPQ7fqV7UW
5YCooXCl2lfYm75zsgCmAfQ7zRgkrJ5eW5p2dGoQRn4pZuzf3VrQiHdMFuwD/OlNCi0vk/DxnCRt
pJWFbIcA0e9l2igEkXabBFYCwkoW1+uXI2BLTBCFJo6IfxAT/oXl8hfTbuoH8f0TEQ/3iSfm2zPB
7H/8hVeW2ucB3pCrnihm735TEPOex36mYIn//1+b+yRIZ0FVl8FdrT5BNt789BXC8fROL3//8hE/
v/m7N3v9XK//eBg8lJvyDtmKJ+bhy4OuNwlMvv+O+c/9Zjs17O+n+c//eP+wb1bA70dHLvzh4+Ci
XvL6b9sZi38tr98Onmzus/J1oL9FesR1dOcnnwjbwddx3oxNzNp57Okm3rR8JdXrWG/GJxzsPj5S
lNWnr5RZJ6J8weBpXW7+mGZVve0tOL52fovZQ/zHOiu3zj9J+s7jz+M/ZlnJ4nkd6838E4l2Hn9R
4mizbXAyyp0HX8YPafo6zpsHJ4PceezDJrnN4vv6dai/hxd4752HXyX5Qxls4teh3gz/FVt2hbr0
lqG/YsceP5Rb5lxgG3eelOMg9bYEAoGW23nsk020JYYJZsUXDF1VD9vm5Cs26ElW/fHfqfcQP2yb
ma/YoqebewLw6zy8WYhfsUVPN5iKbBn7K7aoGDvPtkV3gRjZ+Ws9fUjvs7tgW/QSfMUvGL+8e7h/
HejveRft7N0Hz3j213HejP0V2/Q02zonX7FLGRqH44dhy5N/xU5db/ItC11csXae8PVDu/mcO2Jv
/xVb9KzcEAJen/LN1/kVW/Q83tw9bMkdRSFm52k5j5tkW3In2tM7D34ZkDpWwf2WmRGdnZ3Hv9rc
lVwJ0nrLWSqQWF/wBukfkwdMl7a9wVds1auNeIMy3ZT3WwOZ9hWbVrzJLHjwtn2Ir9i1YvwFO+Au
qO62vcdXbF/xHkfZpmi2nVbaV+xh8Q4nTVD9cXYbVPm2z/EVm1m8y+mmftg2/lfsZ8avN39MNuXt
ZlvOIGrmX7EreI9pvP0dvmZji0+B5OX4+rh/x1QBqdv9I/ibrXdCUTncfXBqGFsn/0s2c1BFGIA1
r8/5ZmK+ZC9n8WZb9iB6ortPDInJNiNoUarcffB6g+RavGmq18HeTM2XbF1RZtlyDouu7M5P/1uP
7KdS2A7Vp+vfGgfuPHpDJNhyxAsJnd3npaFAlGyrywlxzZ2H/72dxa4z8xvB0J2H/rXm9++H3laW
/YuC97lY+6pltu3P3teixW/cxQ+b8r/+HwAAAP//</cx:binary>
              </cx:geoCache>
            </cx:geography>
          </cx:layoutPr>
          <cx:valueColors>
            <cx:minColor>
              <a:schemeClr val="accent5">
                <a:lumMod val="20000"/>
                <a:lumOff val="80000"/>
              </a:schemeClr>
            </cx:minColor>
            <cx:maxColor>
              <a:schemeClr val="accent5"/>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effectLst>
      <a:outerShdw blurRad="63500" sx="102000" sy="102000" algn="c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series layoutId="regionMap" uniqueId="{6373FD16-B169-4BAB-AD6F-0D2DA9D9B3A8}" formatIdx="0">
          <cx:tx>
            <cx:txData>
              <cx:f>_xlchart.v5.2</cx:f>
              <cx:v>Sum of Amount</cx:v>
            </cx:txData>
          </cx:tx>
          <cx:spPr>
            <a:ln>
              <a:solidFill>
                <a:schemeClr val="tx2"/>
              </a:solidFill>
            </a:ln>
          </cx:spPr>
          <cx:dataId val="0"/>
          <cx:layoutPr>
            <cx:geography cultureLanguage="en-US" cultureRegion="IN" attribution="Powered by Bing">
              <cx:geoCache provider="{E9337A44-BEBE-4D9F-B70C-5C5E7DAFC167}">
                <cx:binary>7H1pc9u40u5fSeXzpQYLSQCnzpyqASnJ8u44y2S+sBRb4QouAPdff1u2k7EW58i3xnXr1b2amZpK
qIaafIhG99ONxr/v+n/dZaulfterLDf/uut/fx/Vdfmv334zd9FKLc1ExXe6MMX3enJXqN+K79/j
u9Vv93rZxXn4G0HY/u0uWup61b//z79htHBVnBd3yzou8ptmpYcPK9NktfnFtb2X3i3vVZz7sal1
fFfj3997yyz+Xug8Xr7fvEZ+f/+HWt4X+p1XNHk9vH+3yuu4Hj4O5er39xvDkPfvftv+tR3N3mWg
fN3cgzDlE2ozFxFuv3+XFXn49PcWJmjCGCGCIoHWH/zjVy+XCgQPV+hBneX9vV4ZA/f18P8d+Y2b
gEfxx399BHfrR7F++CHg8Pv7T3lcr+7f3dbLemXev4tN8fCs9OAV6/v8dPvwYH7bhO8//976C3hU
W3/zDOHt5/rfLm2C+F8Avl3m9fKdXOpvS718A5ztiU0Qd5nA4vGzBTcWE1dwamPq/rj++JI9wv1q
9fajvn+YA8DfL3hk78BFcV/c/fPY23hiCyQcgZ+gdbewh6nu2MSxBaabk/xghfajvSl+AMqbAkeG
7vkyXf3z4FIxQTbFDIGhfvjACrBpx8lEYAe7nAHsz6f0ofrsx3ZD+gBoN75/ZMj+kcGSeP8WVptN
OLI54S59NMpsF1zCCCzggPpzbF+h0X54twc4AOFtkSMDGTyLPDbZsjFvMInZxLURo4770iTGE4SI
TSnjm0C/Tqv9WO8Z4wC490gdG+LLOw0TO6+LN0CcTxzmCmpz9MLMXi/a63+o/WDWt9zv21fp9gLu
u2Mcgvuu1JHh/kdWxvlbLNUcXGyY4xg8rYcPzOWNpRp8cAYfx2EQjG2a80M12o/01h0dgPKWxJEh
7BUQOq7XawMxl/cGMTXCXAiw1vtxJmSCYeY7DG9Z89fqtR/tvaMcgPleuSND/rww7/7Iw1W2eotl
3J4ghxDKbWc/8JhP1ou4zcBfX3+2jPorlduP/r5BDgB/n9iRYS+bun4Lsy4mDiawTL9k1gmeOI7t
Yky28D5Yof1Ib4ofgPGmwJGhCwzRu5le5nexuSt+LJ//BEPKJowjxDgHk/7w2Vq1wZoDtYYdTsWP
n/3Jmf2t0SHLzH6YN27s5zAHwL1f8MhgB9J82a708i3MOZ9g4RJM2KO1RjvUCpq44L/D3N+iVl6l
1H7Ud4c4APFdoWNDu8ga8xYum5iQNZDgmz8szLtQEwjAOXDjtrM5yb2DNXoB5035Q0DelDgyhP1V
9u6ygGTbT0v3GAj9A5YceHDm2JDUWjvn688Om2bDW2BTYNO26LRXKbUf590hDoB6V+jI0J5nqzz/
55EGUtwhyMGC7KQ6IPQSHAPVtgXxwZrsh3dT/ABoNwWODNZp9s4vNGSs3wBaPmFEuA55YsQFOF0b
JMo6by0EhvDa3RdjvUq1/VjvDnEA3rtCR4b5GRRLvIUT5k4oOGDE/hFTb+O9TlzDNQiuwJw/J80O
Vmg/ypviByC8KXBk6M6geiN/i+nsThjFruPgl+sSGHfgH7zleB2u0X58t+QPAHhL4sgQvly1yzfJ
YYJr7RLGKXpyraHGYNNgQ24Lg19ti60o6nCN9iO8JX8AwlsSR4bwxSqH+pL4TaaxmOB1UoMx/Bg/
AdO1CTIF15q5lK6d7udW+lVK7cd5d4gDoN4VOja0l/dAi7yBA+ZOgBQB/5k9zecdqNEEuZDesPEW
H3ZxsEYv4LwpfwjImxJHhvBJo74V2X39z2Nsgw/NXWzbu/GTPcEupghqUh5C6C2IX6PSfpB3RjgA
5h2ZIwP6NjZpPBTNGwANlAgF6pr8KDDa9q6B3HYhZe3AjN6026/RaT/SOyMcgPSOzLEhDUmM02JZ
NfFbsCJsIhxgwAikKx4+ezwxIiDSEuLRtG+lq9b5hFco9wLqewY5BPg9YkeG/UKVKx0vs39+llMC
lAjhDtSJ7gceOxOY4xCEwU6A9WcL+Ndoth/1nREOgHxH5sjwhum0rj7J3qben03WdQZQFPy0Tm/X
GkFSGjKaGMKurbj6lWrtx3vfIAdAvk/syFBf5MPb0CgcEeC82VNp2fY6DpUnQLC4LmC+uY4fqs9+
nDekDwB44/tHhuzZSr/Fou1MKHsoLnk0zWvbvBFZA/+5rjbDwJJuInuoPvuR3ZA+ANmN7/8PQPbX
Km7c8Hrn1h8/nu2ePORrt9yxCey1cV3YifW4Gu9B1MWMMAwR9MPnx28/lpVAkv/nNsEXc6OPOxV3
dt09l924x8db/PVD+Z+3p67IC/UWFAif2FS4AjB6RHDHkQaHCzuuDSTIJna3B2u0f1Zuye+BcOOv
YOPolsSRIXy+NGb1BlYXCBAbyrS5eIqU0A7CUPoDl23YUbmJ8OEa7Ud4S34Dzv37Yrckjgzhi6V+
q1iY2RANo6c88o5/TCYOxesNs1sO08EK7cd3U/wAeDcFjg1dKMRf6dXwBjGvO3GZyxhFL9loPHHB
RLt0e+/cxSt0egHj7REOgXlb5tiQhnlcFm9Su8cmsM5COoI/Ges9/pRwbcZhtd7nT60n2KGavYD3
9giH4L0tc2x4r/Qd9GPw/vHNNUBsIFe43H2J2IClm2MBWyz2bpy7OFivF7DelD8E6U2JI8P5dr2p
4i0ak0BGmRIC1ddPQdDOAg32mziQo9ouGzhco/0Ib8kfgPCWxJEhDOvhWzBWsBUKNjr+nMY7xbjA
axACey7AaG962Ifqsx/dDekDsN34/pEh+0S36mZ8AzsNZQLMxjb60XRkZ/5CRT3gi9DO/H3kxQ/U
aj/Ke+7sAKz3SB0Z4pfL8m34EAJkiA22+kU+BOoFYIcc36q6PlSf/ShvSB+A78b3jwzZj6to+RZc
FzAhkBV0YV/rCwWaUCEAG6Aw7G98dL/B+35e33W4Xvsx3pI/AOUtiSPD+Qq2OIZvsDmGUsgRQ9U8
d19qTgC9aBxoBuduZ4cP12g/wlvyByC8JXFkCMMq9E6uoJ3dW3hdLoAIXjPU7z2Gwtt5QkgL24gg
qP3aKsZ9nVb7kd4zxgFo75E6MsSvs+Xdm8RQfAL+83pWP2WadlhsKL1m66oQ8vNteG67D9drP95b
8gdgvSVxdDg30G70DXxtMRHUZbAn6mmNhpzERo4Y9kRBqgI6ANKtYo/r7FCNXkJ4Q/4ghDckjgzh
DzHsRTfx/dss0IIjh9KnOoDdQgBgxmCnOuyD2gqYX6XUfpx3hzgA6l2hI0N7vTKdN7F5d/UtNuVb
LNfOhEBtLuyOgTh5/dmmtmFig2+OoLXIFub/B6rtR/6lgQ7A/yXRI3wLJNT+LPX92+ytgZJ7aD2A
OX1qDri9imMoKIHgGlb6zdBr/fxfp9jLr8CecQ58A/ZIHtsLUGTLN6NIwXlbJzH3z36g0GzBHbTj
rB+s0QuIb8ofgvSmxLEhDDPJj1fhW5j4h1Ih5kB99pbTBtMau5TDvH+K1XZn98E6vQDzzm0dgvSO
0BGCfQFd5N8C7IdUNYOy7CdIdxx1INMIVGULe4tGW9vyg5V6Ge3NIQ5Ee1Po2NCOV/pNtklCCxIX
Udgn95iG3ldBBhehJT/Y7/VnG/CD9XoB7U35Q6DelDg2nKPlmzT7BH4c2rWCnaYvNQkjEzDiiIMf
v2XAD9boBYQ35Q9BeFPiyBD+CIWCcCjKP0+vrHfDQnU9FAs+nZ+wx2qvk1twdMbWJH6FSvsx3h7g
AJC3Rf5voPzyGSo/z6Lxl/Vy+nCKzbNjVH599eERweE7W6JP6aY9hfk/k42L+9/fQ2qSOhApP6vW
Xw+0kaz6seXsx0TdlFuBBfn9vYUxnKUCpScIjlWAXfDUhhrvbvV0yYVYDYr3wbJDrzgo4H//Lodm
ZhEctEOhZhxsBJQmgSCD6vH370zRPFyCPbYYOpzA3h3KoVINisZ/3Op1kQ1hkf98Lk9/fpc36rqI
89rAfa05vfLxe2t9nXUfeRva0MLtwrZeqJIC/cq75Yd1fx74+v9iUaXz3qqGi56WJZ7hFHF2UTJa
Bt/ROOYO8nSN6qKUNEZsPCncNO1yGfRJN3VdO/0QkKjzeR50Jxq3bJBQQXkXImO8QgRLjdPbNEjV
9ZCmkaxGl8yog0MJ1VjmonDd71HJEz9VREmcm3gWNQ2dMhPrae12TLYKO+djY9TCyrO6kjhN88Hr
XRN5SRLqyxJhKttYnCdunZ4JFw5QMmU3zLQjSllXqZKZQqWnBNbSzbC4tNvhNHXic17UwZmKs3SW
WiKVoaCES7DJmVSpM8x6wSKf1j3xKtqnHk5Z6Vd9Fs8q3uQ+sq2vmYuvSrfPT1nUfMRuhPxA2YWf
x27phWKwLnXi3nV5pmRVMDwvnOT7mCR/sS42StotVosuYMF5aSfDJ63qwK90dBEaWiyaKFnV4Ui+
Eh2hmzGri1nrZpXPTEZiORRRBerm4qy1Ajx1O2Sd2mWPzh3Afx5HxJGhbtxzzdgNz8LkVuFs0UXD
R6t0clnYuT1HvLhhrkqkCHTuwYkSrh8VfbEYU4aljTos+yG1znHUKMkGHTlf2zJclAGi6VkdDLie
h8oaokyOWrv6KgLsWpKm8cWA48qRVoiDsPISGEl4XFj1VclFZUlCmOUsynogHy3SZPGCtOl4qttc
XMXtUFayGHkRSgEPIbgSQRF6UZyK7y0W6TkphI9DNd7arca9//zwpo05cVeUg47D6On4rZ9//M/H
QsG/D6c5/f2X69O7/v7TfFWsd9SY7S+trdfPb/19ItTaWvw8HmrLBj0eAfZj1r7m4qusF4Kp/vN4
rx3r9bx/964FW8v+sGDrjsTro56owBiq7DiYqR8WbN3NFrY+wHSF3YKPZuqHBYMthAhK8gTYFgbN
fNZHUfywYNAjFywYBLHuehVk0Pnjx7PYQAuM9x4LRtbdNjcsmMMEe6jh5FDpCRYR9HtuwYRio8hb
p73K2phEgaerAp1mPbZP87FIEi9x1achCYlkvXXOc0L9xFGt7BJ48XMLSVwnH/uwPkt5f9ui/nwI
cCLLyBWy6fgox3g8FXH9uVPDJVN04cSupFlQyIqbq7LvT92ycb1eVYt4zDqpjJFdEAoZMNHPNaXf
KQ9rrzNVLlGcDl4ZUzLVqVXJkduzJkm4Z2eokcJEXwc3iKTJ7GEq6kH5SJcfbbdppN1YxHPS0KPl
iLyhq6UdVq2n8+BLJrBfE3fwtDG+E3ff3CaVSVApHzZw31UJi73Wjf90q95IqIFf0J57TRUzaRXk
Tze055yVoxd0dBZxbUlq1AlxW8dvC35ieqX8ASadjNv+21AE31TdX6G1DXLS+muMROwpO52nab/g
UZjPcN9pX7dWIXlY3ofIdvwe53+WYP8kjVrqB029cgMyXpp0WMalE5w1Tsw87YAViUJ3auUcfyCG
ad8ugsiLoUOnLEwv5l2XnmGnar9y0WoqG1hHZ0XSeqPN4qkdsGKWDRR5mdOPUx5FCIzkWMiG5OZi
QLyHNabVM17EpR9k1uDV8DZLbdJoasWFng4oDqY5MvFZjIpszkVX3xKnHT93Yxv5BcoCmZoMXQyu
YrOxS9OvhW7JacyY+2drlPpgNK6uI5fEC451f16JgPrtkBWnxK10Iy3bTs6DLi+DqVX0540eMyJH
hYJvPY8t7neOVS1ygm7SQuBpFHXlJzTAg58HsCj9ZSUi/G7zrJkqQYjs6qGZppx7gyKVNEnZyHas
4b3R8Rk25KIeRnjq3bTqwnOTV19hMRaeVTWXOsq7kyCo+xlDbS8bWogZc6JW2n15adeknlUKeQnT
9bTC4iwI3FCmWUxkTkfqu63I/dFOsV9gHvtMDWhWNDQqpyS+ZTQv5zh204tCcH6WNmH7WSjOFy70
p5WRhYK5xfPRM5b+3pPAOlFl4vd8iE//vzF/dEV/aczX52XtGvGHJnhPbihYatgXjME6wnkDDNHn
RpxOkLAJdig0AACf7ZkbCrQEh0ot2LoIFxG4sX8bcTieBJLICCrngXdE3HmVEacUloMtIw77a+AQ
DI7WVYFg0LeMOCXQR6jKnau0zcIzK1RVcNv3aV6dwKRK551tUzkwO/Qq7vhhnGULWzud5zSWc5IG
qliogaiLrkPgziUZR7O+GRJps7XhUficO3kCFj/WMg3zU0skzgUbg0r2GZq5KgSvqU5nYuQrJ2mN
bIcu9IPAHpXnRuFZ3ndnSZ7NLN5GMiZJ86FuDfgvvftX1oscpmAkph1O5hkqTkZazjsSfqhw3vjI
hbloCNipXOmTesSXwogVC5qbmPKrseILwtltzK25VZg/rZCXZ3lQnFWRWOjIjhdYdH9mdehxK7pV
xPkUxryX4MVH0k5peYtN+BXKcxaUl9MEBV+pgBOpIorl0FZgseq2m5soBp3BilJKYcHQJZOsEGcV
WGOZanIGZu2yykgiWRJeVMpe6qi+qsf8ew0PWoq68Mai6+QQlKeKpcxTRX3iCO6jYZTQZpNJMebh
NCXJJ1ZS7FM2nI6B9SfX0c3Q2YEX1cmiCfNSVsyMUzFEsuB5L0scuF7SFSekq76mQzhPC6vwHKrH
WThkoxeW0Z0Bk+0NJXb8HA9z14pPM3DU54qTy7y0id/VWeTHWn8ug8ieUv29cQd04qaumIIHCl69
4/qc4e9Wb2IP6tiuqqyBRTeOc69l1UeuuXVuiewkdfRNFpoTWFjAFLaFl9Ql85wwT2WPwuGvIR9P
eWjfM8fQadImwsPF+NXW5akT2n/1aLypuPURPNOvXRloCQHed6bsYVZ0qZiWJrlUbDhJYRGT2sbG
S5pu1XNRSAs74OSW4Swhzd0Q6U5Sh85Ym94NUF5ZyESXekZi13xrBSLnveOA062aPpzX0P8yg0Vj
sOdw/+6JGnAPMZkTN8JrlR6YrDmztFRgDXxEWC6mVQDC6fqJj3mcyjio/RQC7pmwUDzIILVCLy+j
6GRo0dUIk+Fm4AmbpxbvbkrbOLLvyCmlCfVscG1oBTJjXFpXSRhS8KtQMaXwtkntVDSVKR7Q1KZx
v1Dg80unKuJTzvtxzlqnmxZxXMsh6kKJ2nbW1eqOo/CqasNCgpG6oA04StCz92YwLPRNllxWbhlL
gr903BluNbbSrzlOqCSVMtcUwgEc6HLKYdWT2qXpNOehbO26ln1eUkkxzFkgVuG9IcLyWY5Gibum
vVS2Pe3DQkhmDRcpaaepyIlsIA6TTeYiSWLzTTfWHNOSyJbqRe42VNoOP7UgB3OKw4z7RZlgSXiu
/yKssqWT824KK58r7biqZR6xzI+VLmdWmSlvrEd0V2HyZ6JUMBMGvtvpjs/zsQerlGbOvFB1IY2V
oHmbVoXEZI1v4Co52sFZJaJ51nWXMcworxub00Tom6iDu0aWM8NhcYYHOo9VUE8LkRmZjPoCXHru
9RGD4J03gNCYeaVJZ3USDTOVq5vIiW1fJ0x4BXfOeNiEsivRPHbSr6jV88Yyt2PatjLLNLhnnZ7m
OL0wjQ5nQ6PAO2N6HpTliduY7yENIt+BCMAvrQwmbJpJcsF79VGZJDsXUXudwxOFCDQWU1U4WoYV
OnGS+svg5rPOLs+agK/6gmCZFeq0Trt+GuJ+zlz79v9FD+H5Yg+RFNBDv4j0dlpAPDA/D1I/Yjxg
qfD6JCJY42GjzXo1/zvGAwJr3Y0VzhyEAOs5S2VDRhnYKzjVYt17AhrlP4vx1huiYUA4DIUD2Q0d
R14T4615t03vQEDBOJxK6kJym0JLMvBDnod49UiLsmqa/jLvqJi2XRCVsqAJS72Ude2NaznDadK3
eTpFCAKTurDbT6ltenCPRV59efb0rh+5sQ3ODBjcbW0g4IU+0xD3wnmbax73uTZ2PpSpiMCGkCrH
l2E65oFsWOFGXt/WYFHazm6+sra0YqkVryuvSnQaymA0zAZKhOX3oq7RFYwRNT7JMvxpdCyO54Pr
BCs8WLif/VpjsibxnpN8DoTFENxBhwLo6QbtGNGWxjGLANuhvqS9E4a+24/ZpxaKBeisZkPhgMPT
48SPWcDlyNwBeKYUgcVs9YAhnCvq+6g3BnsxsEi+gaPOW1mrCLWSaQhKp2GRRNdpI06VEZHxIfUh
PpuoOkuzzumnsbHci1hHrZr/+q52YYBqVAS9yuAIBvBBH276OXM5WGEHltVc5nUgPhcheLLgFhF4
Ncq86a+7XovbMsDZn7/+2fW79vxZgscL9AWjcAAItAMgdK3Ws591UB/apQnzy5yDP4fTqLnMjfZi
HkSff/1L2z7x+pdgZYeiW2ivueY4Nn+pzO1hhPWouOQlspdVV+hsHtR8IDItoymqGnCUKBo4eCzU
6dR/e2nWL8XmjcKLAm2ibDixBrp4bv88FJrEENOr+JJVqbNUSeMs02ytgzMqM3V1UcgBAfTzLqs6
Iqu0YKs6E2bRicE+712qkUe7pEghpMzVJ6pLoF4iPgyr0mpLH1mjAjdLFLY+cag7NvLXT28d7Wzr
z9ZmA7h1OPQW+PLNx4fcxskdJ7AucBOoZaxrE0rwHurclnQY8vC0A4bxW8hFed6PVTRzC7uPPQIs
9veajWPhDVHIPBtYhlWsKbtvnTJij/Hq48Hx17u2BPyDbS2pTeElWieLIJPvMKjXev46uZrHCHxu
epHYVRmAZ12LaJz3dU/FrG6bxtN9hW5aNTgQR0cRcCU4nxuiy3lml8RLs0p9KDNH9ZJlXfilSyAW
Ggy4P6VTlZ9ck3I/qPLAa4AKi2Vc06STQWLyy660zFVljXQahlgk0hqDXHmkjdSJ49bZB5KE1+GQ
015mDasu66D6WBNlrYkAAg8yBifV13YzggPS8eQ8ixz+NUCNfRq5HJ+PYd8Kr0ORreBQnCFeWFwP
SnYDH30MdIc/Jv1daar6tkEWi2SnajYLTNUs7ICQj1WEu3QeMAvHcozS4BuEruCdx3ll/dUopvyy
NGSRFnm5wJXI7uO2dGHeU5XexiLoIXVQ2eGpDnTjDfAc5tgm4P93qp/ana5mGPe4nWZw5mLotV3I
K68F5nCqDNV+U4qrKLBC5GMMwQ4sNaTzcpS4ktcs+7NXKDojWpS3Dq2deSMSi8yMq8Yld4FJMqhP
xlmb8nBm9T1aEpN1301Ylo43khpovjwkbTjr66SAydF10yFsGz7TwHb5WU3VSQ5flWDOdQEPWrVM
JiZJLI8FkA9hBdBb0q6zwKO1lau5dtNpaDcDuukotv3YaJTJBN6kekbrTph5T1l/7qbjmAU3TVfV
SskhzoZc30dBRMj41XRWz1QkhQZTXtyRQSU11XA2XNOU6LJOa5X2QH9W47wVTR0slI7jUiYkK24R
s+giGShtgFAUQJENFRI9wAW8j58DexR5dZZ21dRNuxDSSFmNg6uoQi4rTtKBdZE/9Jmoz11TU3ij
uqDApvMaWAtnrhUlwVULU8ddR/wluPSYpkbN8izWQmYVLF7BtG9j17MCaJ3lQICKchuO8AyU8iLR
dMGsy1impiYAr2Dm5JA98PjogMXMSWo3noq0lcnWDKG5NrGl1LSA4Pq71bQsRj4qCGRTbN7wS8cK
wuA0p6wGLsHLe1ONw4mBDrg6mpZhxNQ0MO1YzYQ2eTwbMlcNJ8C4qdJzyJDFHuudIZvruIotD2Al
X6xSjRAoUzdVPvyHrKssQZaBR57nXyA2EGpBtaizaRrV7oexqSmdJUDW4rOoiwyD4CgiUT0PdFvm
t7AY09ME0kXprClBg2lRZyEwoLgfIfuSDGV3ofgAr7YFU0X7AcbNqaYORI9hQMMG4qEW4IyZAf8k
HxM6rrIUmln5HBRQPh1UVC0wiu2TMGap60Gep6J+XMSBPzZBCtmeTpfiOgm6xPZoXCWjBGJvtM5Q
kNkzXAbArLBIsHKKh2gsFlGMO2ALhB11cv09iUUscnh9Qlp5fRdbo6z72PpLQ1/EwQLWOYVgH0PE
OsaSt7ZFPw5ZR5pLtxQDZNtEVV84TQ5LUmhYCgJCAc0xC+II519HnOXRaTWorJ+ZzhmBHK3D+qOd
EGfp9IEKJIeIic6avGd0alzg+SG6xonyM1qlxuNdMI0hpfUVoi7wLJIwaW+N43bfSh3Rk5Z1YTDl
qYOAHuUBjONkRdLPct3iy7EvqX1jagd/xLUF3+hcy3CvxgPrpy1RSXyie0K6Rc5CQ65ii4nPOarW
L2eSVGbOMhOZ636wa+6hqgNsoi4HxQoDRvcMVjDxGYg0eLsVWEntQ3IE8ne1EQG5TnSTph8gJhX2
oreTrrmo+3rtfEZDf+2klttPi07BTxfFOLayJ6oe5yhl65tfq96BfQK9SoUvbSeHu2gqBx5VlBbp
6Im0halTZmEa3+SawZTXDXgFIVwDm0rqPLqqsD3oXNIyQgB3p/vmQllRaWSMmqqf9dCAh06BniJr
owGTyYM7AgPSC7z2k+tcfQ7gMJ9T3sYxZGQjJ4X3YgjdZZdTUKPXyfABErPInIXg5iZnRZmnyS2H
1WJucoQvKxFWX2HPmlvJyI5iclrwUDRnQVSErT9oVnXg4EKcXBJ4rB5i1XCXZqlz3TcGuLsKDW36
pQNC0JyowFLfh1GsbUhcAdMEcQCn05gMkZmVrhJfgNRWM9WVYQX5bDBzg+6iD3FRmzOh0sTxHaJJ
CGZvncNoIyI+68Rqw2lGcpgmoxVQsbDzAlcrBQZ5OIVzqGBudGuLPU0cC55o344tRO1OV51h3RDX
C0RWt7DS0haB610lf2nRio/WAG766Shqje9rkw9GKoxZu4g7AkP1CkejZ3ehC0lcgKXzrFS4s7Fo
2/qiH1h2C4xnJTkzJ7bqW+dk7FwAJ0XYjPMyS4viInd7+9yqkV1MoypX7Vk4dGXkcceo6CN4IuYe
iRzMCJhOA6xiZDojRdfyClaBobrNwgrHfwJnRnkrR/DAhk9lTS0Bg5lATyNmpeGpFZTdtyhEVutl
zLjpIhYI3/TGCsa5bioTT+OxgZc0JnVCr/s0G51L5ZZZJquyRe6FjSO79wbwbsy0i4BvmXY8j0Op
R6bAdhiTTXFPe+23GeF6PvIK3v7U7kPmD8GAjBeUxq2+AKeGPyaRhncNVjrxGd51YJlyAYTGrCGl
SGZcRW4n++Yr4ZAexMDctOyTQ/KqA0IurO0LO8h4+6EKjIC8Ughv9BQyfoAmBA5Dfx7TOi3OmS4j
ek16lLmLoC8E3FffW+FFqq2y85UJwGaAN9bUF1kWgP5apOHMRDyN/K5HaDFUNsz7ARj6WNpBxC4e
XOenQpsnt/SxTOR56vp5JvuQlPhFfKcLU3yvt3PiGwP9D0ycQ/j8Czrl4UTF5wTMY7EQAqkfdAqk
zBm0RYdzu4ElAC8FnP5nKXM4ogiKaIBlgXY068MDf6TMBbQRBAoGGi0LB7bwPE+Z8wlEmi70doW3
/vUpc7abMmfQBtaGyiJQAYqJ1tefxbA9JKhhKQjsq3Qs2bAY3ULRb21E6+AKzAxV6sICt/aEByzz
rCa6HezQlqlrl35OGsiYB24sIepLp42obd84Cp2gLk183lPtNW2xxMMYepDaXY6V6X1FgRbQxj3L
FJSGVEFynVQwt0LgKktlbNlymN98GNFJLFzjpw0OwAVOIUdvqXYa6TrzI7c+a/JSSMziLy12IYGS
z91Maa/o/bwd58C4drJFCgHLXdyMYfe5cIuFWXPXcVaA61IDxS3A4shYj0uR6BvXBQqyUeR/s3du
zZHiarP+RexAHARcfhzq7EPZbtvtG8LudiNAQoAQIP36nfSsWV/PrEPEXOyLHTF30z12u1wFUirz
yReaJty799yJ3+jAyh029S73Si6hp4cfflm960ZPmXCiYjKfy+qFOc4Uxez4Vc5Fd7N6wUvfVX0K
S7c/BAqnqNFf+qztCUt96cBTiZMxI/N69m3dFN5oP3Vc7rSczwh49iSCQOnlXvmqGCH7vYbMUM59
m42z/zklOOQtJdIWeNLWv3TGHmyIw4CuEDawaILjXz/Fmnc55/1BwI9ZZfPEYXZPU3ftR/fMHJ1h
FcFeFIrrjI9UiwD+wVqP3X5ySLyLaX8iofjoFONwdcuLOycXKMMOZELZ0VPse+OVrG5fvjUjr7wC
oFLVXR07mX4vSGfSym3dV2MbxBYUAYaHIGPdEo0a0QbAhh2e0ldly5Z61Ig/hp85yJaIiHk9TIbd
Bl0ZF86ymt2A+GRx6Jg2sflK3eRpsuuVzOQN/sHJRfBSbwkM3bKYCKFM7a2nZUtpOEPkU2/JTeAD
a9qynNAdDg3CHWybh2hLe3COfTJb/tNvSVBVxXfllg3FzP4IwjDXbGoBNiA/mrYkyUY/SCMDiMDp
ed6yJrGlThyKtN1yqBCB1Ijdad0SqnHLqhzJvlXtYDOujd3FS9NnDaItz1FfawQvcsu8ui39giJP
+y0Pm7ZkjGC3W7esDPzFvUF4BuAOUAnStAaxWliyCnoeSZsqTYq7Ocf+deBbFkcneepCtaQMpw29
5XWMtj8UArweQd6sygvltklb09zC6Tn3W+ZHEf51OBql3pYHNpAm45YQNltWOKzY9qYtP/QQJHZt
/NVGshA8PLoIGv0tcbQOZanDkEJyxJERYsnVc1IXMeWw5ZU9gku7DudySzJLRJp0Lfcw0x4dSo8M
kaeTqCtz6Wcf2FuBSBSxn87slpL2W14KZ+FhnuW+hRirdL0ft2S13TJW3D30TSF2ZVv+Wv5MYhHJ
CkSzdFJt8f9kA/z/bWvbhnX8t63tfzgIt+/vf97bfvu2X/a2YBuo9xt86kew3X7Z27BFocPg+wBK
yYYL/L634WkiaJ+hcgxeLPgjSYCaCx42EWNuDB5B8HNH/As4GJTsnww14GAgy4CpIRvCY5o30uHX
vS1eqyHRMdN3DVaDU8yT4AaE6znu+ABcYHymYJqGZmoPnYy4/WRSDc5VGwP7wmItICu/Jqzv0qk1
16kKTlIJuRu4qlNiDSzvljj7ms9BGvRsV7UzO8JXcZFYl0EK5VuxLJmHbiciLDKPpuq/Jswg7AVM
kUY43DZZ76ngNK+OPYV9twJYMxsHo3mbm42MmYDIgPC0cNtBzRgi4fuRNjnyjanpN7oGmXB7E/9G
3Dz2PxGceKNx+o3LmUfHzaON1ZEbtcM3fsejCZQwkJ72J9tTkSzcaJ8Q2E+88T/zRgLN3K6ps9FB
auOExkXdko0cmoAQjUCJDJAi5prcA2LkBtV52ZijaaOPaqh8LNdxtmili25jlKrSmQr8sOpHuUj6
hp1hLndDOCBche+LFVeRQzLqB9b6j3HjdvrYU+ZM15qA+IBhl3UDo4chNKp7pJObYKfTZTSnflQG
e58sc5OGZfijLfVy3B6GtNdd2+ZWdPemUbcQKqeOs9vB9c7x5OykWk6OoLm0UNEbh9fYLKz770vn
PdRT8vXvxeMng+QiIfjPuvh/eF93n39eO0LQPP+rizGmD08U8tFC357xiDXil7UDD4KLkD2G4W9h
Ihaq39cOiF/YNngkpB/iiRR0U7O/o6QxnvdK0XnFsAqg61s4+VfWjn8x46GEPQRKPhxqvE6yDfv9
de2oxmhpGj/mdw4ZvlY1FKXV/IOY8MiJ6NKGgmAbdRGFAvACSEC/uiRmuF1iAYdlAQIq6kFAmTnZ
GGlvV4XuzpX+41LPXhFHUmdzZS4ucG/qgKjfhEUde33GCb+wcODZ7GBrb9W7oGuVahJ8LxGaZ70j
qqwK1/Maz98hjocsbnEjYhUuqJnDlIBQKVyN3H0U4Qp9ALUa6URngXFpNsnO7Dpp7j0DjeNV/KzX
EDBVNb36iBlyOAbfpUtPSKA2yh2CpJpVmwqAHSFDKtNFyb1NyMtc2gp3OeARxpwl5dGEP9KmzmwF
QkKIqkyj8uhX085EskwHnNlTb1mfLatupqg792V/ZvidUmmAYQnPe1jqNp+rShRt592UxHsqDZ+w
DgE8ByqGjFHNiDHAoKSgvw7CN3VWxv1LHI5ORl0DXCEL56GuHiev6d9glD0bGyznaeNy/UntOVng
hg/j21rBDenavegXsBk6BGmyYE3WfumlrIxvWOU9+4MCVlovdw6i1KJttc290FaFTWBEVWOyIVr6
wXfY9xDw7x6mXEZgtZ0lfZ/Wd/iRu6Cn78r4cq9Hd8+1qoqxX4R8TgjrHrkLQf9ZV/b7srIH67tY
HnUvI0BYLI7fR9Lclri+j+7UuYd18uSdN5bJXSBKdTJJCX4JK+sS0cM0gmtzmVtnLEjMrd9YeAC1
FMseccbL0i15VAt246/yExaHd3BllQwgYyBy07/Xud/WOUiG/7LOCTyqfPw36xy+658a6ediFngh
Rk3jUVoEZb5/aiRMUfLQAcRS8yeJhGeVu4nru+Q3Kv5XmgLjTwmexYYk+DfQPvoryxzW2X+RSLAY
XMTYeGoIzIhtIMCvy5zsQ4uaS6nuXO4/tVI9eio8i0Bd27UHJjkH7FS5iORIcGiMaXLRtuWunOmS
TasuU3dAXSMyi85h0j+4gbXA2CKSLsFEU2XJdXIHRPEJ/q0ukqzgTU+OSTV6oOr54xgBxbSdjFMi
1xtncGUqOhyVgFo7mbOGZY6opSn4jIPFOC3DrduJJwxvB7E52+7SeN6USgryuSpxi3k82gcK8iae
5QJak1WpHbsn1sXQPo7oU3dUx6EPd2U8VYVq4eRHgfhE3vuMrMzZjjEH6TuPjm1JWg7qxm62uA2r
D7AwTTqEGmS9XIpuPDbkQir/+8zeRz+bkuogZVnly6yRfVsNgtK0IJ/42uaeVX3Rm+Z9sVjm12n8
rqflRKZ+wSkev9A4l0c1xvfGAZplusKxFz2R0xrEb2FDj9JtgjQxoZsnUXgZq/G+FusKNDEG9bKS
u5aOHCduXZDYxUfiRyqdqkodozFwcUoUD161BNfEYd9Wr7uqLoYBzn2c7AkjO2+QXqqimex8iq2s
L+VU8HZs8rJdSDq68cWr2dHoGjzbyPIm7h7WVmHJsZoUg4/IPlYQyzRBlkphoBfVMM2P1eT6WUmS
l8qRTQrMfj+4zUm10VOQ2HfiVN1emDZFkwwEJUty6bEWcS1guz7oD4s7ezjNDief4Hex47BPfNFk
bUk6974Ppu4xLgf84FFhO5B3Nhi/1XKRQHCde1zg74msZTo2IHtZS17HYb4ZkQHmThwAaln8z3XR
n+immZ2aVpCoKi4PiOU+QJK6qcRLyVoo6l296MfQq9RZxO5pbpqvvU3OdiDQipLt5eJcBmPg8rig
i6eqJKlsSyCPSt1OjcXtMz+xqvwYWBQfOh9BaOOIx9L6DCGLfhn86NgOU3WIQ3mCYuXYBqnYxao7
0ir8gq4XO81TR+Fe2Uf8m8tlQKUFuYiUcAnomP3MwOYRYSZJtg9v9U3m0pICfwxelGzGbLZap0p1
3Ul5es1WJ4pSZuoh5YpPmV2VfK3csjp0jI33DQ2TdPGHfO0M2cVaPMcevIJqYogdQDUqT9b4gPqu
KHmjEYG0Ne72yTuqWoLhbSjLR08fXRu7xyFmx4iUfE/xWtKB+vAptrs0hnWumsmmcugOwQQzxqF5
I+2EiBoQY88dgjstmDJEZGtqAhblqH/lU0AQcuI/nCC8b4CbSjV/IWtzDkd9kr65TYLxcY5mnVol
9swp27QTMMi6ltzOq/5SS1TduGH3ItDXFkZg3K43SthXVcLuaIFopUI2z8AYTsHqHoxST1MM4nPQ
nZu6UvrwA9dLq4Yicke5EyZWqTeuN+XoX9E/5MW6kCLy+pOndZcapWEelW91Re7AitwCbblH6wYa
bVYfZRmiZ9HaV86gLoIhjgvkeG9KRPD3Dbo+k9c/SRacV6eXxcxx1YBlMu2zr5vwUAe08/fwb70C
Db1TEtby7+7bP8x4nCz+8xaOB1u9Y/Tau/o3uzi+8dddfJuRB2Pi92LEP3dxzMhLQmzUCaHYsLeD
wv+eVlD2TdCWSJBc/vG0gqGoqIZjG/+t7+vSv7SN/2tnIkYcgBGrFNYKZjJGf3I6uiqeZz7H8s51
eXWAnb5nFcQyzOezjmaD47inLqv25N53LS6kVd93TQBmrBMfY+DJXDnqgBslLBJ/NFm1UD9tAjZk
mgUWy9fi5WyKnTQaqM1hzor7oUpeWGix1qDYlgF9PyP6voxhcIhlgsTTYfvB9C9lXKE3MMQ3djTQ
ubKdD5pPp0o0AzK38GTjWqRVEN1QL/hShbAQpjq+JkvU5t1YQz6M73goGlzcsHqeRdinC0g0sBfR
nLWzvaFd9LKWiOjRWXxNuHyh63xOWnJZIv7khOJmghGfIY390o2lC84eVE25nCMbPHRdA1ba+erV
a1YN1Q5KJcKRrr/0kXz1YnrrMzRjWbju5xWrCK6M94nj/u9WDt8zmoqaWpbCI+K5P64U2Mlgijju
dDHPMzj6RtyNSAhA+fgHyVDYxdZzu3CsVZVdyB6tuV1DB+yoc4M+H+kyx7P3fkm/eVP/1GqzQ6Qo
Ur/q7teA7gwTxxoJPbqE6p7q6AsbyqroA/NKa5yu6iXsc0i8NuNdLXd+bRTymWg/jfY6rl20I4yf
VsI/mRVIeCfvC2UjQSLtlRl84LtmjrxbXkaHNa4eh9uAHSlkDGiuMzXoTWIeya6OZhyWBqSvk22K
CZA/0tj4lVFUwwDqe6C16z2Oxl3aCvmtjajMmwkHFG8gOx4jW3WrwkzmUBs4NkI0H+Pof2I25eci
3epQDcHtlkuv81CBJZxF0RgePPthCwTHxJBqZY0e63ASIT3ykAD2YLsxrrAHggMqzIqGtldRs49/
HqW6UE/FMjvXul++J7Zdxix0Ybi5EBR2CBT8t+EUOANq3RAdCd02Mq+ESI2jOMfj2Q7eplPkuL6D
UHlCEzBHt69wN3MPly6uo+RF+rOfsU3xIMMYijqp1qKNNMxDpLAZ2TQSkht0jkL+kMwgbb0SHQQI
qi6hl3JWBAVzaC00s3FfRGj0xdDGO3/TZKi2ujtn02kuou6zgXQrIeH8TctNEHXxpu42qvLYI9VK
2bQgyrfYmgOIicq1d1LiTmk2pYhS3n0J6ciE6+b9piYpZCXv6NsEmanktQ6CPh2hQONYlMeVytu1
RHd1hkpNPPk9UBwyCfpVBKIvola1ubM6bd5vMncJN3E/hFXOrLOHCmnsm7fp4vHSNEcFrVzLwSDl
w2Uwi/LdbILaM8NNuUnsDlp77YNDR5gDx5U9O1X72WrcMl4ncW1DqasEPsom3dHKR4uS8yfwiz+S
Td9XK647f5P8Eq2jANhm6vTQE3M1dBfHW8MbgsOCU4vhdp3BA4HYa4oosWW+bqcLXZYyq0acONgy
38xjG0MJ4zTCk/qRjbiaw6Aix5E3DJVSfOKghMDaGnuVZU9h/yIZQSnJZj2OPf4wot+Fn5Qyi7KV
s52O4EGWu9lMTS6HKTighbpuZ6kWUB3MhuEqAv/McdxyS/cJbR2ZE28+ldv+7lu71qmS49igU0zG
1zZBsFNQ1dEmU7o5az3DtJxmX3gQqmUHC7tWKMNWLLj8faz/eaz3/6sm+G3+4TZI+19Fwfadv4gC
0PQoxCOyxD+LYsOvR3s8xRGne5zjcbNuozR+FwV4vgVm+gCnxoS+4Gdm8ruDiRkgaK3jryj68iGk
xF/SBNG/pB8JBnYDIQiBbSOA2R6U8uvRXmmYfKDmnFt4lE3G5XGucUjpOO3SjmCWRIsumqMCP2uY
uIJSQGGsHrHBDuCezCRz3kxHOxIAto3GykmphIlnMJ9iiBfk4eoDDO0zQLe33h1ujPaP6AvEl17w
sQgkyOLe/1IlI0Jh0eQVKOLVaxC7DP43SlBEjyhAG9+9Jq5j0iUuQ5zaxhd3jX5gu1t3zdKj5th8
iYgghQVUlmonsmg9D6+B7nVekx5ehLPsGgC1+SCdXTe0GlD3CD8OOGdQwjVUWpyYxaSNPMQUidQu
YePk5Rq89Xx2zLUBmDTvMB5gET5OFpN80kPj9mtKSFDlCaxMKZcEWcqI5UsZUXiujrLB+MUcdkva
Os29bsyUJh1HGTJGmO4236co+iyRf6VljRTWn275/MVTcPdKgykYS6Lr1DHyMVpJmxLhvTVcOema
jB72MIT9CiQALZU6DW73MXisGeEjMOkWoZkxLYWKwLsObYVzDovCfDHtk8tQWNv2HbVir1zd4LUL
5LOoI3nX21Ve3K42GbDCAu7tnV/1x47LW0XUXoxsx5PoBJ/lFeUD0qetb46SNuAgA/cISxNNL/ze
4M6wuZaob6cut36G1/OCOQb1aa4jLNN4+4BPls42OEDclbH7xGM+70QPMzKh0TkQNbJ0uDf1c6sc
jxcjp5QWZIEm9MzVVbZNXaqGvOEyhk/qPlazuZaYRYPjv38HnQl82jsMil7DJjqW3O7bWWNFtSqf
pwoHNnG3JvPeWz2Ttu6cBZjooJY+ZU0IhFw0L2Ekn2A+YXBA/CwcWNcAdA+rrp76zl7GpX4chX6t
J3IgawzYgLM+owN6abb29+u8hDtUn7zdGpkL7aR7xkeONVw3n80KXmXEa3NMFRa+v4RoKINMtNHe
t+GbNwII7lzk6Jrf2Kp8EEizjiacqovvBI+gHz46R4E0fxo1IQBSkmvFmrwHONf1mIdCybObNAuO
yc0ec3AgnBrYXb5/U6v2Teiq3jsR3fUTOp7+0Oeoj9YZcZBLDGZ5T0oiC1csuaX2FqbKHXPjF3Cm
Z6kctPa3aCD88HuX5m7ZPNqK3S0keBnGBekDeeaDSwrXA4IBpjKrW+e2dJN9I7pbXU9xypLuYy4D
UfhLeUmAAKb+zM+c48uQLC6TntJlFEe0CC8wMs74Slusq++fQK1PaRsv3NuRejIZtUDXHxiOVR5i
0eprU3tFFzYa7VH3h8WRpK3nrypZdksyFybGS/DjtynuboQOnAwmRO4TnU2Tfxir/tVEaA94wgAg
D+gl9vRDTAaeYxIFzyA2X2s9Hhf0c7gzl+geB1e/qY6Atq5eh+kVxs434byguRV2+7Ib42My9gfW
Rvs6bl8ar71gltGXqOvdFJT2w8SC3Ov5DevQbnL1SyuCx7HGZyH6+VsgcKu54w3CnruVC32sDNFp
U88H7g3ob3oPuEhOUmMoEJCmO0B+uzlC+oqt/RWTHHLLAr6blQt+bzk7CTk7vgsZtjjHwAQHdwx2
0whlZJfDgvkc0LeXNZn2E7fXaW6nNBIDCp/jee1xycbQJULxL6Di39qlvoNeO05j8KmQjDJJj8Rn
z7OqH8NYPSEJ42lIoVxC+Dhz/NG6aFUIDUgVXZLSGy9m6jBLxcMdRpYbJttzbbu3lfuPCUdKhM4A
rNwBkyOouw/meocKw10o5LmO4h9/a5Of2mQbavOf/Qqw/9O/S1bxTf+UJYgVQFCgsuf6eBAe/TVx
8PC/YPRj5HMEhnAbHfsPWbI9rifc5MdmI/xjfs/vuiTBmOhwQynC0I/IJmb+QrL6Uxb9oYwVIm2A
GRLj1QEBQaHsj7pk7leFEgbz79QauDAj5+NigiFHkdtHODXspO9hAZjMSwTILVdV8G3048sELywP
N866WRH8TyM7Tzg5pp3bgVB0xzS2kAWrmm/XEeBgkIwyk1J/mKT7ymocPQV/aINm35np5Pnew9Dj
bNYMBtN2ek8BifAuHSZ+pZUTfVFtIjOeiAkEdPkFk4NeQtQ7oAbsmtFV3IWVf0cWWiSDPEV8OLah
hfqZSwCPrRdnM1v3qIIWXtz/ABnyoJcqPHXwZDCS6iNGXz5R9nkFS5K2Hk4VPqoUKQ1El2PSWuau
yIajnj0vRL+1ODRkrGUHT8su7TEMJxXMH9MJy2pW9/5tK4YTbzEQYxnHH8PMMLHLkXB4eXy31c2z
pRrumnDuT6vAVAtdI6WIhEQvn41AIN2qvFVUujksckvTIbA/Ysziup2D6Jut8eb2pWBXD1B0ytT4
yUBf3DSSH8PEgWnp9WbPOhXfqXoVOMIu+NRgF6VjhTEVLXAsFCU6lsJCpnsMDYJ4GcGUB2tUXd3K
J3vbN1U6YIAHQh8fZ7llARIo/KpwDW8Ovr9yTOSpvX3DtnKjRVWPrjCWYMseRFkSrOsG4WqAWXEB
cMRdsPjQFmLy9pP0RdH5zQUEydlOzV3bkeNkKosKfvyjtA1NG4xlKBxV+7nBcJCClJHZY1INL9yG
xXgjiAGyMiT7qcEps1lHvU887MuiGtFWRBXkAQFsvNd9yAo8JaU5uG5Z5rDg/FT5vnPFgLkgFRa/
6bBSmtYw7nZx5UyAAJcYk9uqvnBQMAEx3tanEBb/vvLYk/HUvdZuVzAnNqmc+g/JMUKqZhSlpiEJ
Tn0C67giWynXbm9R7XVviwqbLx3aNKnCtnwwGg1kD9MMUuCa5C7ELKaU9RaoK9731B8dfYgXKDO2
BAjtIl1/byEVgcFEZTFjmtvBnaD/Ql6UZYdUAFx9KpJuTEE2ixQhCgYYNUucj5D5GZ0berVkvTar
fqCLaAvMN4G25x6/RR8P00Ha4cfU2Y8Jkxd2U48tkCccuyLw+8xfac7HgR6pgYigTjTv47ILHjxH
P9eJnJzcnTSQQeathAAV7b8teFWRdVoUWBoOwpYNe6c2T8RZCAjTimbunJw6QLzFshiSJrMGKKUM
8EqkkuhCFXXXOScnAFrs+19mxBEZEK0nMTSnqOnul0hljhPdqPCtjLyzlnR+RYz3udDpsgaOk3ZI
5vN40ctFwyo4JAlkYD0Cgqha9+Lhp7Genec5+DGgqgQDiN+4i0vSOYmebYymad3YGCCD+K4i1E/R
TjvKxlzRzb+AjkY1chuK1YkYyGNNUMeZGSZmGbliqiHSmxFf3ikAIpHyw50x+AjJIO60Uz3ytXxz
pf7aB1geYref86gdz/VC3tcWQlu1PpqNSlY7ogkGM/mo5wZjMTcKppqFxcjVfANe+UVTxIyRE9wn
axSnUkTdEaPb8JWTC73b8jnrJ3nWjXtAqwGDU4Jy17hyuKuTyUA1N7BX1ySf1vFTlRT07FznKBbS
ryCzRFjIbr3pvOmbDKJjp8NXlBnCYy0IZpvYD5x8UDSU6wG/NN8xnLNSQWzOaXTLGqwyicTUwHHJ
2gTzxGZJDs5AD2bBmcGr4cbVyxWDLy/cU0gea/4xxckh6vxbUvV7Jxj2FQqG+EyzlRP8OXxncV1n
qtY/VB3do7E8FbM0x2lDofWGuQftFaUwB3uBzrhvzmziVwGKmtTsiYOqZrQ7RBtmrcFb83rK0MgZ
065UUH9gskuUXmuexa5aUwVmG6n8Z6mBRmMfc8xexZ6K72vR8qyi3YNbj2Pxtzb6qY3C/+rbPGn0
McS/A8+27/tdHgE8g84h4C4w52ojL35xbfBUlNAnePq7F8C02VKW312beJvCiiYd8WiCL9l41t/l
UfR/KP4Cgy0QAG2zL/7S+Csa4l/6RR6hD+Ji8DeeLo9Hs4Bl2sZl/MG2IXM4CkcKcWdDhhQcgzhn
jGXA/Kvcdo2EMqcBhvrxmwCNrB3MqYOL27rupzumHZztmzxZvGtHYHH65LSo/r3VwddS8QxDfm5W
Sy5VEhwswwXbOtJkLKq+KsOvc1m2BYDYd8RZNAuYGdKS6z6zIKfOwmBIHUedC0Hu1MH6ZnAhZXxB
E+8+Zhjwkkh0EmwE2C1pPzCDY+eX5J6tsCBGjN1CWep1IRiGIzt6F4cDRl3oFvkrwXFEU/mdSpAC
4cogXFhEM3Q9yTE00HxTdPRL8eSb9dME9kYFyQcv1dNiZoQLvNpLqs8U4iuVM70LZXTiWOfThIVf
fAe9cjm9LYzu1NYAGIkzpEsS30MZonwi75qlvW2WZtc7BJX4cKkxmwAUCBmdlwTSCUNIsdWHzYWN
gGFtb85+0k7HLuQ4TrWW7Bi4hx3m8b2hNH0fzvoS6Fje9sMVmN9OtHVhInIHWnGn/fXBbCv61rr3
R/LuEwzM4c4rVtAXjFrZUY20PoHRcPC5+KiN/tI7rp8Li/GNCLtvzYy3Du7W1V1LQHotFc9DgH1T
xROmO2Gr94dovkULclcuJfZrNFMzo+dHBmWD/653GBzF82nonjVeRjlgO2xrBxTJIvdh7eK9iUkm
XXMeZnwOqJhHaePGHCF/7KbG+A91LM/LUn7HWAJseZQ+BZI+OBhxnDkTvSQCjJ8OIwb0Z+DYEtmD
E5ZHTPQJLqEEGbwOzRP29m+xW6MGKK6Ctd+bbnyuEqzzmDQHMx+/1AEDOpYscTB4pJRrlUUeJgQH
04pKcgn3sm53fa1zm4gDkKW9G8yH1oPiw3wPU3hKf2Kv6vOAYhamG/WvUooiIf0GU+Ld3pjtrJIW
9udKVOqrEXxzDE7JYodNMXGjv7Fm/DJYDDHuNaZwus0IdAVQQr2iwS50B+kyyrMrV34hAko6Vq81
jS5hED50s0S3u05E5hBr9yCYQEqW47JLMDIBho331nfDYzzjgw8xTM6E9tbV5fdydtD9nsOHpI9x
RCgPiw+dRcryGG2cY4iLPgV7v1stnEVMeghSr2pBvWBS1EYyzkh8zHvlW5WFCn0mjnc0BTB+mmZI
pxYGmwFRRLio72BQ72vricK0D06TEgY0Y67sO+qX79NMnzCf4anlJNdrfN96XotTgw2yxfMRXtXO
s4kdIPA8KpiddszM9FTXKM/2ZArxsc9oizvmHZ+rOaFhVci+Rz8sRlzjOcGnt6ob7jo3K2DGoo4B
OGFa3Lu09cH0U5hJKoCuRCiMmgUix4wg3FHHfRTRIrNBTWRfelWSgdLF65mx4S4aVyD+/ofHVyRt
4C+RIkO/xtx5GLT7qQQuiYCK+iSj6Es/DreKw1eBF//Z9+5dBMNYNQhr4UMGG0Tp7ShpdvASx0tJ
3P3aBfi08Y6fhw6/NGYOzhnK+F8DweVOOliDMRkAPvk8BsBKqkMJqxplHvM+0FruEyyNQYvR0L52
MsaCG2Dxd4pDOIeYxJObGvhvIxbE3fJ+UO6+GYOn3mKtlOSRVMgiMfd4BHYSvVdVfwIFf/Lwy+VL
7VIUmPQXeHskK5t6AEaHDHUMcVG3qvw6U/t1nIYHpgIEqdw5YBYZBoRigcOACP3YI0fORwzr/L/s
ncdy5EabRV/lfwEokPDYVqG8YdGbDYJks+G9x9PPSUrd6pb5JxQxm4nQQqsWXRUq8zP3ntvpSuE5
OnXUYPv5IsjqNzxcHBUlxSeki3reBFWYLTSjuZv84SHR2se6kuq5pHtEvKVuhTYIT1W18DA3ce9F
uLJBozDFKoJqWqRC39VNfJtbOs1dV6AjA4SXjCoqmhhTvBuDPEpoeNmgMfB+6K3roYER+DREByPU
r3M0AY5pPaCWuo/0jLcGkDUj17NWFkifU9FsYW98CA76lRjdC8wHPtqG4m+BPqULG9/+KrUjXAiG
4RXucGzK9KZ3NRReKcdvNK3mSdzmpnUIiwmfbdA92nJDrVbtvmrPvTUtWpP5fGAHF2PSIy8t3Gij
VTUL+jp6xMi4AX8WH3OF439W6pM72QpLvi4BsTGiZESEsGhKh3fLx3RcBnvwiMqy+RTcik/xLWsS
jRa4+ED2EJ6GHHpvGXBi24+x1O3WbURh31bzdBafut6G99meZmsbOAgOIh+Lo2j2fju7V0KvkXvM
CvVm0xo75ofn9FNA3BnTtJnlQjwsHcyJPRN9F4FDxtZcKwFvs0W32KYnKFaZsygIOmpDf4jskhNC
rt+NRtmG7OMNo5ESMfVDnyhgJ3SQE+q/KRy3k6p4GTt9LVH50/kdG10UXjKm72OU5AumJRtNjTUU
TDT2eWA9hWPWY2Bp49VQhatKNOyStHlt9Qo+G9s6BLzY5RtmN2H4Nwk6BAXJyTmq7Su9HP1l1GUC
vo16z8vPLY6OoRzjPRYxe11W4zV+0k2MsdtjfpWv81FNllOtll6ET4E2aXjK6Uqo/m9NY/Ks1Lxn
jXSZcP4srDnZMSxe11F66aXeoinGNepM9gXGO4frpXWHfJmGPAIRYg3WS2sOOAGEFJSvKwBOSWUH
bdQ2t1pt4SL6sN2aPYQfdkgCkmlVjyhhOfelbxW9CLOpVSYVJKXF5j4qtNe50dCoDcPGjmIOZ4Qn
FLlPNUKU0U7tZZEpK4FExRycZ66WdT9oN8gaD3xyt7YmtWqIW0pUpss4Sk+gR+8c5C9AHRF6Fo9m
KZ4GqY8xEco02ngqpHJmiFwFUQ8bHxdZDX6hnMVBuptxMRr1aQyCdTloidehxAmlJMdSrPuu7E/z
GC5YJ72lCHeqRNCE69OxH51uC3egXeWjdcqEky+tjIMQAZAKINurkAQlhXYckAh1UisUSNWQNVuP
8ZBlKF7UmfUg2iIAIprXS71R37mMrnCPLMwMyj9zL2PlzPW2kUqlWo3f7IEaxkHEZJcNaia4ZJvA
bZpjViFeqhA9pbFsYRm5JamvbNxsiKk5/ZYPl5k6s3FntcreiuxsY4XFzqXaKhdpqTMYmnuyAxb/
tmO/jqoZ3f79qNr7SP9zBr79V+NqvvBbP6bpv4Afp6sQv/kIf+jHDCbPGto545ul51s/JnmDKqhh
lV7NAIyms2D/rR8zBLk5KNpx/lm6aSMv/Sfj6p+7MROon0Db52JzpB9ko/+Hbqz1u7hJ51y75Ewn
1CQ62kGy1Ptp9cMr8xtl4UeQIOmcf2z7aBylph8dISg5cFM/t31AphKGdclwMU1MwC3VvLEy526f
RUAfCko/Ph82I4i2uHKn7lgl5b2t1SBYEDIvB1BNq4SIjUNfm66Hhw/e2tSyaja5XvyhfqIRJP3C
CXHPySlz2KS3JT9wyQrrUqgRrlo7B45RsXxyQJMsdQakTDAphLJx6TJfX+aimT3XtJjMJvnat/o1
cMbW6zAE0ZPA8bWNR2rqk2t0Lkej/sQOq1iinbtFu3OjZONZUcxzK/sNdWBqA6JwB7TkPPhZwF5f
3OMUZsMc9L2nSR9y17fXsE8ggnaPrlN/cNi/BNn0XEsFW9LZmNyn6GLW/sGC67HGGLa1yLEAc1zz
DtX1fWEF28iBE52G4YGtxls+hMm6z7gYrB4DUVqMpad0clSKhohTf34RWSY58vGV4YCIn1KoRqXu
VVby0tnivm4Czs+sW1Dx3dhVtyHXYItoTWEeD5BqgHOLahr2VKiZt8pUogpoK2dpuy9ui3hMH72u
gpffdEZCnaN6DpQH3r94w/r+qzMh41Mt86T0HS7rnHVABatA2NNZG6DiTMARhlBEa87dCxCaeM3C
eTNnxikI/GDRCmPj9ry24UC8imKZvVdW7gthCFsWJzdFPk8evcJDZCFiDwCSIE1Ib5uh2wkz6b1a
V99VKtpFMEwPaRSZ4MLmK21Ehd6EMR3iXH8RqfZFY3W7TEaxLVJ3h02FW5mbi73JdQZdbrQL62jr
MzdAmr/PcfkU2gS0ZFZxBwog9ozKTrZDp29YFlDU+2vGoqBReMRoEo0hpKoLq1emHEG9nh2FBbFp
jfRE6sgeeDFpNTAeY6jIXbGHtXAGebnX4z5NTWTZk1iqPpItQ/8yqO4uMsW6n1HwAbAs+4fE1OWk
dhBAf81IOvxHEXlJrO10JGiCpUcr9YlO9QrQ4kYkyofj8jZVmNQLnkZm8z3JEE2LDH/wwDmLnZKZ
bBmG/ujU8CEUBvUmtQ+T1j6SBt3h2YrtBq5weQoi1V825QhEQ7KImmMZ43Zrm+0wtE+g9lCXURr3
sQqyqTglFh9ZPU8u+FEOqaLs5pSlShiE4YpulfVXH32xBhatDC906DPiBjjYZizajwTUxXLsmFRb
5ROIXrwyu9CooUQp28myX8dYfZnNKVnaKWSgKX1Jjdt+aNgZdPsSfUwKJ5oucqmt0QqGrtGiZ9NX
AyOmXtPXtQjZz8xlv9HtuEUTwdYq6I2X3BCQuorB85W6ZqZQbjqRX03F8FwXMSXOZDyAOHVOpQKM
7k4GNQSOUfvbQiOQ5n87Rn+2M/GhYeEp5OwOHTbQFWZxPw3PmqbRDX+ypsswLe2FsfH3421x2lHp
Ka/5Y7lKdkyIF/6Baqnz4o2+++/HuFxd/s7J/O3Huzb3DitEk3n5zz++9umHFaubL739Wvo7V0Uc
NL4wzfu1ovhbVuRf/RxNFexyNQnjVf8g7XJb7qwIJtRFREd4rFCZP9xgh+f6f/k5P99+v/49vJ7c
gQKNC/6Zn/+eCnGs2dGJXCzzUFtXpY5c0nj876+Z8Vfv2Y9/zB9+SBeqaqNhsrz06+YBA86q36pf
HE86nE4Zz9jipl6x91xr2/uz46WLc3+K1g/Nyl9dx/thsSVm5AjCfBF4xZr/Vg///ffTftbR/foi
SHwA8Vg6OJ5Pp/APhJwUriVcE1VcWA6f/Wt1pZ7EY7AHBcmM1ZsW+2exGZfnaj1sTXOZHSC9XDOF
W2OMXX7+Kv/XMKb/bywKEyXAD+/Jn/KJbl/fa2gU+V/qMfnK75Wk9FNiAf8eUvFDJSl+cXAQmN/j
K36c7COFAGitwVnEpvkzakn9RCNhNgePzjD+n1SSmkFN+sPpYKoIH/CnS2u7alCW/vFB0uM+b+Zi
HJAEOerS6KJyrfdhvCo5EzN7bNeNkrDgHU2jf2ZQdCjB4mwslJlSdo/hGUCl58tUnCAgHsfBeZ5N
OewXNYKy2M6vpkzTAc3JyrJqVnYM669M/VumUdYp7+k5p16v1iUS+zOQ31UchA9tCHqelm4duc6e
3fneqMXXZJwehjDb20ZCUEKNr0DbulFITFgMHpQVfcnwHTHiPOmpFBw2S8B65FCY1kdsG/eDpbwk
vfIx9CFZZf6ULceBWWZeZF8qKc5KVIXLtu88AdtxMcgMOZqutyk0EllfCqhvmL37ro28bioewqy4
1qxgBVI1YRYCdbDq2n4VAKUPuFp3VqnfIA48EcT0MTOKmvKLJUCn6XVyRmq/nsf4Mat09Ar+e5ib
dz0YHfbdXyfYzUwItGtotNPC6WaVBXhzXyj08VPXgtFJwxQ6azpSBeCOq63pNgta02vtwdg2jhov
dQYDK4gV9mIuMNNkEbVV48fuirE4EhQsfgnX/QJS7qbrlPjGpITyRoCpi3gy6PUjqjSzUPRTXSVM
EYoBU4sjyj2zpZuiGVGxKoW66cZmx10XUaSR0mBIO1j36QzL0aoEJ62Zs8e4MRVgqFlV8vIhSx91
Cw3/GOFWNZ2vsLi3Y4gGsJWlcda09qn1gUS+1LAwvzDbpLFwRepiMxP+2mxItLNVZg7NDDkg0KZ8
XbIrOGWzFt07iCgZU41bWMsvCcoPjPdldDUA0/SUsiOmYnLu3HzY6Zm5KbkRNyn4zW0txL3Sodro
1EFfjf6cb3oAkzfYCqqFzQjkqsldr1J5LfWmP42AUu54AqiPDRuodZWOF0CgzQrSXnlH4NVbw814
sElrWFpx+AFfa6RwJ2wicsVZcQq/XajdyEtvCgrwttvWnV9vtdpKbyurSq/6ws7vEg0FYclWl2U2
5junhZNlKYAe5nYRROZ2tAj+6HyF4DC9KxZtMV0NLQ58Ra/HZUZA08qMkFS2tLbriXiGfTupr6Nf
LqsQq+FklPirVJQcAQlHARZ9hBmGslMUd3ghf4NlBHYBhqhtDjmqSN4T3cSE1Q0kk1TOPhkYtJHm
hCa2dWfCGebSX1gmUQ8Afv1jGOjOyeknBDw2/ZZMsrJlplWckW41ypyrViZeKQ7ZVw1RjotE5mH9
ex/9OtigBvj7wcYq/Y9X1Fj/uXoIRmmn3+M+ZSX27Tpi0czoEnO9btDJac7P9gAw0yqoEo1NNIOP
368j9xdmGgZEJQ37AIMP/unbotn5hfqWnBYTMzd2s3/mGeRq++N15PB9qJRV7AE2LKY/1F1V4I+m
Inqs/+jFB+n95XrwFEYxJAA19QUKOONfmrcn0yjbpSs3n63NctDJ0ME1Sp/v5wD9HKEHNa2X8Yg5
yCZDxGFiJzQm5AaSs0zyemnS62VrdAXZM27PYgdPc4y5mdUKAXqjE8I4s+9dDNB0OfnamjG125ij
qc2CbY1dmvPm0R/gjfVxeVsXIaZzJXK3Qg3ec8zWo64e0FOdCzXEYyv92Godi/VkMuEsMWunQ7SZ
pHu7wMaNr+zZ56ZrrbKBo9zdqn2QroOKXUI3ME9FZPZm1Qn0JekQr2E2r91i/LAK6wMNQOwhs+q8
pupP7qg/5VqR78uOE53ki1etD69D6Ubn13x38+wqQUXu6L29VEJ23A8jDDhMBGKTCLghJpAQVDPr
oEBd4uOBms3sg2zS1SiBIkVabpihfrHr4WawkmBLwp4DJM8Emsz004sjxVp1ynhlh4POLkN7iMCX
9JJjYmiiQCbmFOjIoZzE4E7SngPZal+gBINJ1SGisMG8miUjxVGnBydF1HUZG9hOZTvOaIJo0dxj
qJRf5y408S708aqJO7DaIzNUY07HTRbh3Kyi2N2V1RRe64l2z0mKUxz291ZzwsUcJPrzrNqLMlu4
bnfXWWlwBkTI/aZmNcxXJdmWZrEaUFMLHGs0vQ4OPKyLlAjRg7Q0IvXqnIWuYKPSA8TdpVWO3Jgg
7RWluASxz4nYgNWz1Dv48DLWC75Cx6AutfZGl/MSE53ox+NjaUZfbD07cpZjnRAVS4S6JdRU6V6N
rMG4ZujP7ARfGPcA0QnszeQaBYyKeKupGCLtovHGbl4rmp5DeOC0zxNvjG28GcnR8m1yBUj4IM/g
NiMvS5VGBlDuFsf1hGoqAX3dK/G7sJQnU0O9FY43adgep165wyf70tK+MbRyF1WnHKqxPqu6fz/m
8WEaMt4tX3sIMkCGYe3f+aN9aGNeoVILjLVeMkdJHPeca0g87OHeUsW8SIM0xvLPiAd++RuaiZuh
js+BTJDyJR3D7qXW/0af+FsyP2J7InZQ3paG4+wDuBSdNRxKxXwLpvZBjs+C3EQRal6F0bzVSf8p
VUACSTM9mZ3jbOJAyRZJhMyJYw5gUKWwGJGyNX/ssflE9VPdZHvd7U+Jru3YtD50ORJLMmt1Oanf
IRCRSQtSbKqkNygy30D3I99KUgwYlrORkN8VGitn5bfc/7D5szWU3O1ssHiJyyyGnF0uxwZygYbk
VJ64nFKYHxKjvxQdEzENJtu6w1MSqDAbBCRIlZeAM+lan6xT3LnvFJ08W7Z1r1nGSTcqKrsOBSFZ
tCQ+yiOuDmfwROqt5ubr1KYS1krCexvkv2Q9p9sMJ6hIW5y9WWtRj4yP3RzcCtV4szOW1oHmnIDD
+ZsgUJQ18+QbYSPirYJEwLy23zSA6iuRp8CNrHI16aDPs0hD5eNM6wSVWt3O/m1czeyganGXR30O
EMqO3stQOVvAm1dAzW6GKHocqPFqar2Mmg/rz7BqMTsj/1SR48rKMPqsEpnjZo/ZZ+04awE7T6sv
VkS7HkynvnMliqCWUAJiL15Y1JNbZvQ6CLz5ye+BEth988b2pFrOXX0xovQcQjvQoR6M0A+ExCAg
Y9ins7ZKAiNdda15DfXg1Llw7S0JUYihKThQFVSlRu8tQQvm4KtMlro7HQZD5JPYCpMhlnCGhG6P
32Z+ciW3oZoeMnO4Lof4wvPAiwDhIYP0gFBKBXuCkLhX801nY7HGDnGbw4cQVrMnhuFgqON9rmHK
MsyLRRtVukZOMCmfaomasFOLMaHET7D80RBqgqTIVbAVnLGs38ttDrWilvgKO2s4dixYVBJtYUrI
BaQLcBdlvJslAENJQKZ/IjEkHAOxubZDIhp5bMC7VSEhGolaR4B1AGsEI2Nridr4tyr7rMq0/6r+
OxVfivc/V2Tyi36oyFzX0VzHgq3MKId/+k5xEKAnbU1H+adbTO9+N2yyTwKoYLj2ZxjWj4ZN/kU4
uD8JHHGZH8Bw+ifzAUNueH4fHjIekDUYBaMQMoP91w3RD3OmqqiA/IfkJ1W0eM62SgbuFNO+ElB4
0KMFiq/Mq6QsBgutLOG/rod81fC9Caw/2wo1E+3tYInA/To4zbZWct1/LZMsVtFD56ly4I9u/L1A
UCtWwawoiBySHBkCcvew7EGYaSMd02zORFWkJAiwg7FzW4qHJ8tC49oyI0HDOnU2RAhSLMItkn94
8WlsEhY8EgC1raCj8dHJGngJ1ZDWVxwBHdZNHXnPKnDUAqiNg+Vsbjvlw0Q4vPn30f+1IaE4//uG
ZI2kOv+rboSv+v7sw0e0VKiJ9CO2rho0Kt+ffQgmPHk0HJbK/yET377JXm1SXwkiYl0nN6mfjcq3
bsQE48rDavOp+dXL/E8efhS2f3z6XY3mFRaaLUyGrPofJvdJhmdibH37DId5H7RVn5/aQZuIBs36
siThI+rmjTM0DXktWYDx2JUE0sIlqpKKKHwe9eaWiJLJC5scBVvbbQg99liJsCRScw3PY4r+1I3f
dEAQ3FEmAk0F12lOegB64ZaVlfJMHsYNLqDHoStEct1iw7nFobF1B8ZXRLXiHGzgK0TKOWEONyyq
vsJxogTPiNnCi++HkXUJ08m+mLnD3suA1a0vLHgnBQbkTM3vLHJy1j5X9LBqRuG3hC6RyvrQUYOS
QZQMj4nmhniekmLLvC2eqD7rE4Eq+6Ezb4gYnZCx5w/qnN51BkL+IizfNQlQscLujfSOaFmjsCG/
/S2UwRK1YpytToOJMj50YWQudXohBXmgknH7BZIbYpSl8JwJ3FeTI7IQRvgIpsJhZZdAcjBv8Wpe
xTFRb5MSfdFc+w7j5YdqxNGqyXhRTKe9tvWEw4mhIgLGAZl+UCYvk04SBmbDrTqzLqvk1jNLnbsq
Fdq6yFEI5YQWIYjVtiHoyBw9nZcN0U4PkRyaWWjjteCQadQkX2nMfrgzp71eate+1pGeqYdQVQxt
WyTs/DQnQTU6jdoOgzT72k79ohau53QNekzf9PFGY3XO3dcgLA6Wax8aHQI7ObucWbN7a/v4Goiq
W4++8sV053Wqjjv4lOegxvqCpcsra+RXWS5Ttf3ya1uwJLMipHWdkr0PoTt6/ZQ/8Ui3oLJ7e2vJ
rpfH69oQBH+2SIJbXOe0TP6FhKNrMwCmFYQCnanC+oBicqGOtbnEpNVI25cXmsVTF2vIT4N23/IO
tk23hpYbbZgLz5RQVbGac2OX9dPVWJmPomnPbhvdxS3papHaPGRBeCMDT6B9dBsRWMqOekVf9GF9
M9n+HZ6U67nq+IgIpkWQfNFLR9HEMNa/dP68nRDMkAyvvNeVEnqqUSabyaQ+m4WbghGCmByYDUnx
quGR7zLvi9K+ionoWRcOQt6yy/Vl1qctl8pwBGvzBerwPupQE9dNdLLikgB51T7A6RUb1SWzYyIG
QPAB8AwRvyLaGtaT2165tfHUK6G65KPeMy3NrGXY6V+zCSsqV+BNN5fLtrPB38MRtm0ZhZUXuHwS
zPbDnG8Vg6fTl91Mk0Yf6aTN1IX2kzmYtxrr5F1fJFxytbZjQqJ7uuMcwx5Pm2Wwr1fJg10PVXwV
BRZ01uQmS1FXhzzbQ4hkeIiTVZS5Fy3Iq7WV0koP5YBIoEaQWuXW3SCkBLlWv/qa8aLq6buqm7tq
0ClxmR4vfEX7QGD30Mis1SzLHrKh1Vaa291OE3rXyMqei8k4mGjzzZ6WElEng/jRwqzslDbcBXVC
clm96QNYZ82E5ynJgZ1ZnSxlbEElMFjo57da154rx9W3riozll37Mnd97jltCN+mxpNmGbR/8Kjf
gY81O9Vub8O8xbRSqinyvmJadDbWb9yGLyjVbtuM/KGB1JE1CXqDV3ds8+OyzGHRqece5M6KBftH
P0+uh77yFMda7/V+YW+TJEcvqxhYBEgGW2RMf3FnD++oHLKlaIC5qv5gnqPRjGAsVCPqEy30dK26
GXJq98kBtCTIvkmifOR9isDt6ZMXmfHkTXFYnlAK76bMf8nycfQyBU+6ZmN0G8m/XpZ1/G5RwmBj
jOeVmfvrwNCnrZXjnS5KY52g3fNC20rXjsPMg/Nw3qBBfakdk/AmBduQvynoVq9DhXQxs4hcEG8D
atY2c9ejkqMcB515beVaubYrsSO66hjbESipLHY2jIhAQmKDXfr9NO3DrvuSQEJch2Wr7zXEZkuz
hNmTjEG+DfN8vp+HjPdmmJS1KUX9Cn3tIiAhamG2PdN0HyGEcEgUMEndSd29784HJZozMp9o7f0E
0FPme/hUbx24AMe5YcgRdkgOaX0vZRfe5RoaEJwL6brUaUG6UKmZa7fvVgUwIbMMZzM6aIkmEbRL
CIBgMNLw0kZIn/xZ9ZIi6jdlOR9IBjnCkPRIN7j0Nbx9Pa5UxHVMmkgBPrtm/O5AFUsbn1mc7TKh
wQ8CgNME2OdMK98KUADMGAVUdXgAMvFaJMolraPbBGDkkgxMaxXXwiIhu/xICV4IMhW7O7WrV0cG
3xLTozek6nNJVBtboujsux3EK6H23lDVKGT95JA7xJDEYxw8VCHBy4P/bDFHWGh8dEmC+4pL9NnU
FaDG7bn8FKYQPe2bmrsihCwhOix9wN2C7CpCdqIpyvWslqqnpNFJlCboAGzvKWDGpcGdaio9B5gQ
BHk3mML8o8PGa0OS9h4DJhuNBKWlmT9mU30ec5Se1pRloE6MJW/ovmrEwUyzL0rpfB1GJicWw0OC
DZH0xh/osNZNV7SbhtC0puRfh0J5UGOVRMVDFtOmdzYAqOTV7eI3kpaWZa+oVOb2Dp+vfGqcAO1x
vZ+bgaFFwtuT0VDETD3Hmec5ws6/1jTjQ8ewsmAxehvFAf8zB3ifoSCtU6xHIINBqznRhsrthQps
F40Q8Kl0kA9Z+9kssmXH9seqMG24w6PQ+eblWJDgFx8SBrYbPWvfyQl/DFCcL0tgTCpuGVnECJ0L
z82DjRkiT58c/YzI574eBiYxDUhjpawuZeQeAeEjaEN72ykYH+yYfc5sZBvMgoxktHhliQH5uV7C
bwI8vcbhzNhzRmsFx+4261n8kYBGcox0ezhptKItktVDvbP1cD9M8ddQmNE6GJyrScSbYt40LtRW
Z1NPuSfGo6Mkd2Hao74ziK9EkbiJ4x67As4BoPpvujOsrSF4c6zoaGgdwR++GvJmVa/ARGWm2kD6
V6n29YGPz10wMVFmdPEgSht+V7FwmnrlbPUg3WrYqvs28XxHL69zq5a+iDyyIGgZplAew74o1CUM
16beI7+SwJpokPSa4pNkM/Hu5KhtFc+QoJvgk3mD1n5fgP7AOwYQh3HLZnYDZlmwchQ7Jr9H4nMi
o/CMLOk8vy+eMC7Oq9zpK0ZfgSCeLCaqNb9FID2uEdZ8Jbz4EbeFyd5Z8JdG7do13V1oG6+kF1zG
iPDF0CasJozabEnd1SyTxKiY7/RCQm/YmUlbWaJysTVcabx/8r2jNu/YjQVueKxqoOBpaXhja5/7
FutKZx+RRLuLvIlfhTt5jWscxTxR3RTlG3cLZvpUWtuc+yaKjH2LB2Qm53Ezx5gmpt7ZGn13AVpI
FIPMUqWVWFDXDJ7l51/qIWOLGSpLPOXzmh3y0agIO036Vd6ikoZbMWw5d4/ugGJtMrnssGpvu55P
dKzxA80atYpBwHojUNA1M+rhMt6UGtWuK5KXpIrw0V0lZcIJwKJ71HdmzX7fdfqz0uQV0/n2KjPj
L2ABUK8IKI1TdC4C9WyCEE/z/mxoVxZTagLgvLpWgn2vFo8EaO7aMHpu7fa+dAsUWyyuiTEbLfsW
gdqSuvc8VdpLVBKr0CicjFmwmyd73sVd+sIveB/KqZZNLbgK2zI6cCq8GFnRP2YzXp6iig8jEX8e
zgNib7P5NPQTlDxLPJU9y804uWaa8JqUDuTHpuVJcJ9TsyDMLHzMSNH9d5b1G5WU/vbvG/pN+pHn
f55lqXzRt35eQ9GC1VPCPAhK+ezMv/fzGikJUq7C0NbUWD/+3s+zksRf6n5fL/4um9ZdZNNYTuV8
DLEX+rl/0s8L609iF8ZprCn5no5jIP2Q/f4P0yyyB23mSY57pWX4ITi253JTf2ZF6QqmiZUZkm33
wri+vka5QbJUJkOmkN8frdg91rmbcF0kbwkz9oliodfaYD0ZBkPVUk9RHdT6vMtHvVp1vXtNm/pV
puMtyXbiOtQ2Cm7voInoVaqNigvcwQ0+lspWidI3swY/YMfFMYiH60QayK229uj3trYKJJ92F5fm
sARCQOwo7nPk4WeNCijSsCsO0qDeqdMWRyeWb0W8xXjYRwjNu9qxn1ArwEwb3jkPTyR9pabkKFjP
LqDHVpri2Xd91JPjJdIuH0vjPPlG1RXTuDXqzHyp9WJb4bLvpd1+kMb7RFdqotEw46s6bp4uJ9Ol
KeZHJgYnUsfJUZZG/lpa+jVGAqEBMEPvgnUtbf+iDuxVDAnAgQjAerb3KgkJIEjmOYMa0MUxVX9x
RfYjUvHMN9eZRAyAVNkNEjrgRjjYBUJXTx2MflFIOEEpMQX0vtkSMzRK1uk6M5NdA0F1QR7Tlynr
nYUqcQfkGLNXRByqB9gDtQ4+thBfW03ZC1gJQzsdGSICc5AYhf4TqCDRCoWELEwStzDCXZjhL2RK
Pjzxfh5a82XOiHckBgMSJL79eA/1+naQIIeayLnGQw9ahUdFyzuusSgJpP4pLUJ4jW3iwoEMTHuX
Ng7oKLMPwTo5qIOJoXNPGvFVezspoIhx9u14XUp1Zaiwy8mEcG99EAbuMp3EyPavYBzQm5OBuMU0
Ui/txmAjpiJkZZ3X2tFO0+7RKSxnC0deffp3vvk535Qyh78/DiWQ8dhFzX+u3iLi7/58MMov/3Yw
IrsAyIhGwtVUB9UeB9P3gxFriAF3CNWDqkNdYP7/bdBp/kJKI6co/+BQxcE4+i67MH5xmP9zboI+
+hRy/JOD8U/HIoZ+UhZd1B/Ik03tDzaPWtOJq7Ps4CrAqN5oh8gIf70y/1YbbFg/LxIcMrocjl3d
xLMibEQevDg/Hr0Zy1S3TKfxHCSwNsKOZlXT4nptZ+NphLtCLgjH84YIK8pnhS6Zz4fDYIRqAH9o
61onu7bdZgeyqDp1tUImetZRgp/o5NRxZUCWDDy1FPAYaYdx/A5qidKN4GwmjphoRyLC64JswEFY
YlOHRrWCBYva2irhNfXWJbap+1lNqF6H1H8TKUGqIegrYmWTZwQl3Ob1HH7F09LT10UAewgaUJWV
m06GFi9dKMzqSpQGZMjQyFT9Fk0BswqcgNV1C4qI3cSMP1NOA8fwSS+JyyaBEHghBIDERQLeVxv4
k8ehswQgYOXchf2Dmeh3qP1v62Q+Bnn/YGE9w39dsYSMDApTg3T16hiG8U4EQbITdcftMloHzIhA
VzI22kFB24fZVfUJqi+mPQy755Ih7jJNbWshj/k6suKtm4fHblTfCOiDLFJiATF8BntOKj7CtEi9
yXVXExTGReuyi2Rika3bcTQ3rHPmA0jtQ4+jbcwS0sGiYEMkX+0RKktLXa6qITplg6mvfJbYTBnL
zTzXO7+ObkIihTZxTpploCS7esaxH7D2z5sRbXWY3WLjOoQ6+3NlUq13oo8bHJS4CdDbrkeSbxe4
JVYGikZs87mXEVoxltVpMPAMiZh6N2E8xO4BJ2gQm9JmiSBmNLotEQQmZnhX8zKf9ao6tafKAr8L
GHTXozPdFKn6YVjdF8HOegMZMgOzkNGuhIkZXZf08TRhss0WwChRUil7N4kFCBX1PVFC0kqRkgr7
vg2VTRr6FvOyeuUnjmRfHOfMue7zfO2iTIxrf9XAxMisAQdKqrFJaDWv0nnhcUZuG7V/FDML5xKW
MSS0l9nqT4XK2DTCX2Km6mXmm/YC8KAUthgC9JPyqjXiQ1HGHdrPo05cG6AfLtXCmfc2zqm1Gf8P
e+ex3LjVRttXuS8AF3IYXpJgEklROUxQLbWEHA7SAfD0d0Ht/jvYbVffsT1zdUkUSQDnC3uvTeyP
Y0EV0OBoDi89OIeuddsL+q0DifDnMEi0JfQvexGkVNGh/kTeureqpXZgPU1IpnnJkm0ES7MkfQkz
JNHBTqTcukNzZ9KlDGGKGiZij9fDKmXkMKIPii8YBO8wnGd4GbX7SoluITvfESpA0opcO2H1rjvD
XnjKfhgwwzSJvReJt8nsrJujnzGPaWAzO7O9NmWy5/1dWPhGEBFj/TWyGNQH3FDdqJJTbg7pdlBy
nb0JtU/jljEu23EM7vI2SK8HUOWLAeaOj92jhtLTRiuhkM2WZADCohZdhdCpZiS3xaFHoXMicxUY
bFb3AX1MZc93mGY5JfpbBL+uCNwXFCHApvGIKw2cp76xT0FUBQRTVGREmR6pqZGR0r122QXYArQr
unXdqtDhDAEtKOwZE2hacgHu5yavUkAKklSWvmrCNZzvR9u+SfjmV6LDFO0MTUHcaWYfA2oef5jw
Eqd2+WKG2HRtJE/ccgBdTeuWAjPlcxzTTTiGB+rBCc9RcJW25Us3eMskABuVkFITKOpNYPMtG9Vz
06U+YLltn7TvSLwuM2tK1mFAFIohsyeCLdeR7TwTqrNAqIWkC9gTPj5KU2K93UUCi7QJ2MpgY0sg
MyRC/5zb7bCphLVKiv4JHdgGPUMFw7R7xh6+rmq+5lQiAXIetKK5t7riwdIwpnhDcjNk46Hw5LYV
qLoVmTyE0UhmOLfoMBz7IN+EObwARFXXbTtdog9+GiLrVDLEcs3+QWLn1SRRJs7Ur3sTidGAXZBv
wy/YIk0iJgI8sTdmYoGxyQT+djfehc0Q+ZFRoO217Bt42nyCGUjcsHBuRR/vW9RqIJpU7H7RhQhA
1ilxcY7jqd2WSfhgjQKhsFpvrdzwZ1e30g1Ho+Ddsz06uGwGapLEIVQ8efCwgqlcVm6KTMXdwukk
GSVAO6+nnxRXWUF+IZJgYpvXBZ/UNt3zWa/iiVLP0z1UZONVU6n8mWazT1RlW1v2cwAVs4c4YLb9
DUEiKxjM0xqxPmkicXRWzeE9UCXMNtCY7MqYQE3xEfnkRgTilk3StEqLctuHrMxcLx8PmmYAstIP
XR0/2wGUkZo1mK6X7brIAYiVpinPrGCjhVuHhp+69WOhRuFaUd1L4lYZthVCXDSaEy5bfPZry7Zf
wcsQbamGyqOsbK4Xpr7+CCVvYSDZ+TwgrF7pBvHlKznqRxk1wft39dnf+Fl/1JbOJYiHZ1e3qUJQ
BWg2ldb3JYiWWlgpi0A5Jcmdnd6n3otpfdn1/7LO+beXmCut7xrMkavYThFnn1TQE7Zz2VWXQ3L+
57fxk8/qz7fB2pzaEFmI8dPb0PVuzKUXh5cqsknXuZzawzDcghb655eZd9vflB9fPi2LohVHO7Jf
HCI/vpUQDpzhpH142QHKFUx2G537UNx15nkendlNjTpp//Ga/3mJNPxlv24ltl0ONfFz+9ceYv65
rz0EnvRZDAEiFT0Ori+GF//rIUyi2YGzIxMw5tR0vqs/ewjkQHOWG6ntNBjU3TpX7FdPuopdXeOr
/Sax+A2E6o9XPnptintoY67G9Umm3M8mx7aDfAdJWZ47dR/iTRgxi/zLzfXF2P7dNYnSXKVIMD3S
1PBU8X5/vCYhXRhJkjbV2ZDYvxvcPQ2Gz8jQC+McqRAoZnvykF5NZWy7pyiKnEeGDXp65aoWVDE1
H/S9blfLZih3IhogUmS+bcT+FGvsFsGIj2N2DiwFyIqyGxsPpF9506p4X8cI4rtwroe42RInCyI5
H9bQ+rWVZYq9UpHL6KYv2cjjG+hmV1U74IOPNDNsBuLoMmxxiejZzonQJmlD/c6aZFNlsVxlDD82
scBBpGA9XbSW3IqecXXnJHckdQmjoRorHkNb3akerlwDKw4pmG+IoSLkrCbS5vwt4DBAAV+B4lYH
UKFNvSbd9wBbQq7cYpY0gs5ATKq+zPWDYfIc1sziFnj7PtD1u3pgUKDHLbzosVlGo3xtbHM/mnWx
Fkl1LKJBrjzhGCsrDqxlUNZApQE7OSbZbOFoHPMQsX3bGFeZJEZ96rtHJTHWk3QGn1EgiE69fU8c
8kPdWC8XjigBF5gXjqR/qXCRAXETydZWobGyhgyXQ9LBZap0dLG9Cy6omh40SM8GX+ei7JRrS4JB
yvXsVuYetBA3fVJohcgBqHYeNJdT1kptiZB73yhAnFRNmAvNDQ9h+2rAqvM61ky51JfmIFj2ZMVD
MAG0DQQ9RBlq+9rt6lXbO5vJsV6rmPZDjvVF55ivbpNHFE3xu5sziQ9Nd1qJ1sP4Y7+bMW2JiN9i
gd5Aa5JtpBNOB7p9WYb5udebFy1J1GVtojCBVLDL4hRxQd+uY3eW+OPCW5pNK31TUT2wKN0Zaepd
H3bQP7N2FxlYupDB3IRDK1alE3bLIkCAbAJp7BmmTfOgx3OTG53MdES9bFe8/iFVGf7Ho/2ewIOz
tHROFcEybQwpcSAUdceCVIRlmMQ4giz1LhzFTWFa8LdTg0GA46yiMpJcrMNzn2RcPVIQByP5PBxn
ekrtAPs8o8A+Kd5MuMPrvlbv0jBj5UFQyaDMUc9hyypceW8V9wl4LKrUNFo6hobAaQiQS/vOZJe6
3xpjuqs+jNcQbEQAKQr1CwQHcWuFclowouQq97L0LiXvYmfhnTvbhrwVAsj9VL0h7NvFaZWR9VN9
1lqBwoV9NyJfFvOpbOG7xMkDbSLkziBj+XhfeP6wGQHRHXIK7VhRrusu8eahJYXgKshrgnUIGVKc
AbCLV5XLJqNKZDu8DI0KU7txNBsrZ6xL5ip81op7c460OTWl8xi51lusDmLBY00gsNHWeVYBX4bU
55qflKGDRB+TF9Q9hR1uO54513Wh+UmlXZeQqqSmXMNRXdlKeE8P9tS4FiIx9cKTNFSOex4BNE1N
u4bCt8Ru95m9D22pk6zSpk198KDLVEBQbWoy7BAM1FV/cpzSx8qXoSyaVgiuJIIzNn4JcJtAUS7H
tiaXwUv9QG/eGuL1dDE8KM2b1XEl9razNszEyZdBIbExeoFkHp50o6L4aj86907YDxshan2ZhLCd
LLdqq1NqGI95aRKkM5FR1xehCgiO59YiLc2KdtCajE07lvXSBYyFFSW/T0Wzrlv5KGV2T9z5E1YM
40rtrOnMgSfWdSY+CV3bRbXxeQjcyxlF5WVeOJNpUaMiH1jFoneXSpLF63zKvVszd8djmEc3cRi+
IFxSljKl/arZOTG3bvHb44Fbmm30VOh8izK6jeMSSqWh7Lu+eey0ckKxwJQjmBkKFX8fxFvOnqWX
8gwgytheNchdL5XWVW7tBPXHOHpyHhexkavN5iHwmm5ltk6+5W52VyJrV6bd99teayX8ODjgRl6O
G0nRzOC48mB0IP5hm28xCfC0LWPxM2lc1w19NnuuTdLPs24lIFiSOnyytVum9o+1NtyEVm3vPLN7
BC5GFlY4BafvapG/KZvnQu+nQ5fRIIktNmsTh/C4Hw9dWvAKXbDozqVL4o92mbi3Nn818DfS2B7+
+bV+rCJmWzuTQXy+dBfskDTnp/q5gXTV6rKRZ5f+Ob0X4zpS/sU6/28vMf/7dyW6zESWyS6T54ob
k4RTxiDPZnXz//E+PHZWDhUb0umfXqSJ0nRICinPRn0rysOgkLu4++eX+OvXMk+Gv73E3CZ89z5a
xCChZg7ybLo3uVhPeetThRTOp2T8l1eaR7M/XgA/vtL8l3z3SrAKLfp43owAUKcVqN70fZezg/X7
fD/lf+Y2/7KH+qm/+bgGoCdZhBoahseA7seXa8NkmOpWkyxTHjVQmw4wyOhizB8/Pr//eo25Mfh1
r7HDkfw3fQY/87XP0Kw/bJMWA/ul+5MoWyMDmlQpKn31z9CFr32G4dBnsPN1bAck8ZcNxzdRtuNS
sf+ZNf3bS9wf0RzQtUivMua/gYA/g1b+p8vRiLJKC3unPeWpHa3LMotXQ5lTjV3Bw5nQwcReFEy2
b0a9GmFt6VPpW1qra1hdsI1LYudjI7sQbixGgLtIzS2c9tKqMdkNtoDybWWRsYE9hfybaPcsbhDb
BUmPlzzwyuJ5qm2aYKfrvLpYObDNyUe1LNkMAOtE0nxyJhIOJyxMzBrRxwx17zWUslG9SZrKO0ZC
jXbhUIPPldK8E2WFXQ6fkOjK1FqYaUJxLmR/QQrvuEZJXZwcWJfXmp3KF7WwLMY8SRS+9GY9rLNG
zQ+EA5cUg2VwShTLXOPqi1D8QoRduNIYr8gJIs65K+UxLRx50jAxrWpUw8xHmzn8V68/gR5vllmL
WGgZITnbRXByb3UpEBdBJ3h1p8zb9FEmqaEhd2HA2mSKaVy7k0ra7Cyrzjp1MBH9sZq12hatrq2O
p1qtk3UKq4zoeQ2NS9Pg9KSBMV74mtqtALLHlqcC1eV5kf5sTNV0jqYpgXGqd/pLSpV10Ykm3I3s
UR/nHRWBdDrSv4qjf3Lz7rLr0lc+0mIngGvfaIzmsmUCou1oQhPEplJGpzFPw1U4Msi1iAfbeLD+
/WTy3BMzQGubi4IzfczrZcRG+BVNUXbA+dXcd3nZrRsvKfAUxzrBNVqGzjlq0jVp9zQmg7CvKKmV
NRV/czZi8BPIfMoLlIL9RdOkewR3E+gmxV0LaxzepRllW7fKw/1QxgRxkRqlHHHnq7DUGpBk5Yjs
uG07mxBnt9hUIVJkE0vtYrBqnoGT7gX7rFbsexqDByzF+kFX3OqSPz9YK4wPj02pzwE8tXo5ThH4
KVcmuzBGZAY7IqFgrcbrqCYjrW+k8Me4G/ywn4J1g+85/DI5+u/Jav3jk/W2yz7Vb399ts4/9b9n
q0PQHkF6LHpRaDDE+TbDYUWMqYXtMOEKPOLm7fHXPbD9B89ix1HVmcNOTh//9P2zFTvn/IA1gcTj
3/qNGQ4P0B+O+i/PVg3gn+Vp+L489ae6hd2qKgou/dME3Bo6bfdcj4gf07QljqNnD1hnTOjhtI5l
cIzn68nSZLOsi/6cN+UOZa2yaAgphxwuVtw5F1GXHNF50XTo8Y2qpp/BwaVLpezBeSuSvkLqx3Ka
9wiqHS7zprqElMr03n7WG/MRQiwUlMgz10FGuelB3suQYbBTjAjVqon+DXE+xFVyb7nFczWWd33E
frJsIY8Gtn1fC+DoQ/HQctMEBZtNRrKGER/7NDq0ZfzclC4Sa3TotWG90lC4fs4bg0IW2xtm3Xv6
gCdIpKPPwJyY8BZMmcgkA3J5N+pV7YetXJvm1K70xOBckTzFU8X9LKiYVm5mH5qWIUUxpUuXLDYr
da+Ra38WjXeOLYT5ugA8o85Rq4GUJ7fqH/GWvOIofgqEftmUxatp2h7xPTXdLFzobYNMNawgokSM
vpLwOdNZQVWZW60w42cLWZWvUvOOqQJBBG2vxJBtTAhXUIbTH9VLCu5Dy7NJmMGhAP46xYi0gaKt
1VruQ8/bzpspIsfeYzN5c/L61mCZGxjTYx4i6VY5PFy+JE/lpJQSpwA4XQE+hEeh3TdHbCfvWeJB
WFbUTUmG6LKrYa3lqv5ghta12RLT6MbprRnq751u97sxnn/c6rq1aXSPOSkwDeYh9Ov2umvZswVd
m2xsO3sqzSRd61V30iMLx0JKHIaYQd+qqcyw3LXqAOBGeLARLTi4MGXv1lV8a7CDQPpZ9urDmDRb
5MklbjZBU13EASFF03w21Ekwogadrp3Moh+z1p0wxRJrjMtvitnQtwMiXdDSqGq44ixHKkt34iIe
G77DXK9CX9bTDZoBXrVw2Zf160DtbibX2GPJMRaOnhWLhmTkFR54FnucWW05PLpMD6ltqxdVQzBZ
lAF6IbJxpRpvbUHDWirRVi2UZKU4EPxUtdzYRAtpatwt0R14WyhJ48Lo3TdSqw/uUPZIlJPKr712
Z4fjuNKxVvhhPtyVwmLKh7ieqxFXltG+NDPKVq3Rs5vzmZsPtn5h4oBaDSxOwl324fdKcX7hY6p7
BBSzH4yPAW+Y3johXWBsGWv7wz1G5AhOMrZ6uMrQluEw0xiPnRkw4TsbBasnQwzhE1k5fpNxCS3M
yAxOFV110trdkoHSQrXCbeR44Q2V0byFt4YrZBH7IBQxVB6nh36AV2daDa7diF3nqOzURcy+aEmB
mOWrZsTpLrOrktkvyrrE0B9TqarxMSsq0D1kJ2qrwXZe1ZCAxGVqj5i3EYPPE6ggNS1ikmPdCW/V
1smaJz3ow2AVGROOD6HmdvDM0h9suqpjqiMqaABM/l8j8qGf0pkU/LoROWefXt/qvx6X8099PS71
eUWhI9S0bQY9HnCZbysPFhvoqDBG45u2WG18Oy4RjbLcmwm8nmUiG+Wnvh6X9C8InIDYQGS0HYQL
v3Nc0tb8dFxajmPhb9EdBKpzw/qTcKofZW+2piMv24EHAia7h7KHwjrjDzhNLnNNJK9o7AvGsMat
0WKv6Q0luHEd+Y6PbI351FxMM1ohREWpzrCF3CHvK66Dl3oGMQwZwsi+K65NkgyxppXBRvbB0Z0B
DlHlvHRGfGP300M0Ix70GfagV+ZyKKN8mzoV7kSAEPmMhjBgREyZfsNrrWRL5lUtu4hHBECJxOWm
oF86Ike8Q9cFICANPycNRTQ0CvbGlxGE09JhftfDq9AjVV2b8GMY/vTnQWe66M54C4S1Ej8lY8lw
xjSIpYFjfKfOQAyJ6pt8h3ztzbCMFK+B342V4RtpsOHcwlU4wzWCyrzl4YVOwiMUwPA7HBcLMYM4
4nzcTRqL/XaGdITQOizvM/keqxp2OE3FHjTbY6fiNK0SGhCItzyJxyBb2D0EOE7aNzTqu15z1o7B
vMdTo/tQy6lR4OATC8uYFoBICEgk0Z1LNKYnZwaMlPV9CXCk68YLp0w3SjqtZjQu7phdF6RX+kwq
CS372uUTCgidXShlvZZZdqqBm9hATtJhImAbuPIC3/+08ECh5CBREtAoegUjpe0LJBCdhhIBgIrG
WI10dSi1k3ofM3Fng55cTEBXqqE+VUBYwpnG0oBlgcDzPIBpqYzuMIBtQRy3VsG4oIahiEmshTUT
XuoqBAE3U1/0Rrw7YGDUmQcjTO/I13SQiYM9MFkF5jv+Iaa/vB0JTaaasTK6Gd+UETuZBF6PCnlm
SmiS66J8NhAOA2sbl8U4fDI7rBJc5BhpQ6BkwDEOWp8RIjI9eLXBgkMvNzic9509bku7/YzlDg1B
ZNxa8HHCOIYuFIizpsp2oaX9MIucMBApI2de1BFJZ7isb7z0Pmn5kCbOQsxRDS1yrl8DSvK9KscV
OFN7mhngE4QyPOkdRKPmifxDg3vuKQc3Xc7sn4izfDG1JqchXKBR1t4uSOeMCKcZNmaPOk7tpLns
hJb440wXisEMWQlktQPeyZas+yhIRr/NcZjd9dju5iwx3FUMbjlDbljHsLNTQhILzGQGl0Bw8ix2
F2w9yO8gDlX2q8xNElSO3masZLNSGLqtWlln+xiBto98TWOAZzyVvZX40D2Bv0dc0oUE1R+RFAAf
mGibGKur6w03bjXgHI+iyyGaPut0iLEI3RUZKGuVCD1SkllXcmCjdnGjVeqGmK2c02CaC/SUy4nY
3dgq1iwrCAJ2o7XdtrvYZU2Iez0bynMWd2uMW0QfKc1FWTUV+fHt3oyK8JSlw11q2jd8utqG/L9T
k9TnQXR3XuqBxTKLZRjIF/aH92XJGkB12CwGAkEQiSOClB+cSfG9FbG4LKc8WrqGBmy7x0uDUXuZ
RtlBlVjq2X4vh5hqSaCWqRRcz7pQ/NpI38dJ3FWJc18JzvfafMHigkEvdzCleHu7A9ljisiYpVXa
YmxDZeYvv0BbuXb14sCXhw0moR1pU+cu73vJHWK0c44BARCouOxJMeE9esAkUjZtLTfTyK3nTLzP
SEdR3vdEH7bXScdTQNf2aF0vKFMPqcUqjb18S2gCRLCgzz1iagAldY4LYhr1FaVG+6bMaTWlJ5J1
23lQqSr1hA5R8fusw1ZfaLDLgk/KmB+idLpTRkNn0DBiSxXJzVgNAxWi3FYNPnkcLunKCcUraaOo
5LEok8lQ3LFNRL1ZvcaT0yIzU/Pboai3SqGDZcfaGlR8G5kTrEkHgfQduDw25M7Jq2AV2B17N06H
qn31dIkcKc+41pqcwdgiQ7NT72tVG8GkZ2Hh05Y06+aD1qh/kBv/q4g+KiINwcKvK6KLt/pv/DXz
z3ythzRi3TSbwYHtYA2cQ2+/1UMqCXI4byzAFwS1OQwdvo4PZhn5rMvQVJflijNLM77WQ+Yf4OEg
7sGRsRF+48r5jfGBw1/23aIAWIzHikibaTY2FGiUGvz7d4sCSoRQ1bjET06DyjKFswXZK9KzlcOp
s3F691PDQ3ot5oRSgmsSU9nnjdtx4DuxnjzFOj7uyygoO7HDUFHlbBoTtNxwvzrnXLHtludCVqfK
SONbjJegk6jTHeBNU3PlQp9/NlAsXo3FiJBbDRj4hqzE6O6KeUasmxN5nx/jLmENNXLSQMnBeGkf
ZT+ys4St6AAjCg+n0dlN3Kz1Yoi1ff6h/g6nMVUQagQJG+tZIO4ZIfabWTQ+9K29qmcxOeFVwpci
0DZ9amu+nEXnxF7V91Mfddo29UZ78o0Pqfqoe9PgZx8S9sqZKTqFWSmY3itKsW5sonJV6SXPWdtG
C4/tGln8LJDXqihtb1Ij49izidu7HHQ70jfC4f9h8ZaPkzQ90u0AeREXNkSls4NwYaj+f7foxy1q
UuP/+ha9aT8VzGM/dc1fG5f5J7/eqDQuBrcarcnHzTjfcv/Tas2NC/cnG1UDydbsQft6o7oEYaNs
Iu6aHDnGHPzT1xvV+WPeiNqzgJHNDCkiv3OjspD5+U7FT0JjxfMAkLpqqnNj892disTUSOshKy+7
0QaEluiVlZwYDM4Xd5tnZ4d5UbtEx3+ysDx3kYtfGj5MreeIhgBL5lp+EHr9lI3lPmuKa/JAVq2C
uMdIaE8s64jfOl2ybtiEBsQBHPmHSJUPzPbfPvxbJZIYjnu7hD0yrbWcujCaOC2RpXCjdgsjY2jd
drPhyoUya/SF9qJT/w09oUVrGRKLBB4CYgBpZHYbblJNQTVP1i45OflHZg5DKPJz7L7aOTGROsKh
OvhI2TE+EneCj/Qdzwsj81AncfOUyIDo1N7I9XXf9QnYji65cJrCTgjdthrpg5ICSNy4dbJlj9Kj
iaxDVfgEGyIuzuTw0tlgqyR6Igc+PapXuXF7r95UsQ12n27FkaRCJW4m13B7mf2rYqmjggboGPti
gmYSeYZfBv2drgb3Sj3tWke57tFeFHAyTZzfFGSHQVqX3hwK5lb2ss7067GJP1VKeZF1jsKEsjt2
TlHAkKy2LrbnRe1p1z0ZnCR7+kUgTu4stTcg1ytyq8XtXtr5lqkv+ZvFKdeHU1fWL+rYXHusK/TE
vku9Hmm7sw208NKO+mYhsuomq4DOFXM6lrqRVnNdt+4KnwZMF/Mhn20lHoZHt9kD8GTCkxu6n3jv
BfhDM7NPhux8WbobZF0ARZtjEDdnQiyfKORWDlKJStH8gtywqcwvgVeSBjWdiga49aA/TACf8dfT
ARQnEpPo9wg0jKJTEpSnxvBolxjfte0+sbA82+qzbiVrN26PFUOvsHQTfw5bCh30ITXgwVzbuPZA
y4JluPPUU8fIhwCuU23rV2KkQZuUOysydgw1+YaJjsMdtGs0d+ECPfUC8eZBGe+L7MFJojt2Mtc4
PtZBZR3we62pt05q0tOEjtpBmjgt+CNgC2jorLUDLdKeE35ZQ9wMHW2txMOFHKJd2UCexi/yVjv6
NWTD63qk6QvC3rpyLExJtoxOdmAeR0vPL+tMTXYk9kKbQVc3C2xgetDviksiW2hbuKQ6z9xlfaOg
IZHVqmq8z2M4nNSB3iw3DsikrgbB4TVUqLVwBK0MIZ5BeXL5GfaqqoLNIPpxrRgBS0+CvLwhWrN3
u01l4BuKQVqqibBRZyFIA1dgUc3NGSsLiJruAUxSpB0D07w2azwYYFAQJQ18433inZNK2TQAdioc
3VuONGWpNE6yFoN2bJNukwbh0kK6rsqm87k6+LZ00Ide15xFENF9mg3oODT+0dgQnBpfmkF6MISy
0Qzp57Y4Vfo8eBD5K44svoxJWc2ykhWzXj6s1r4icWtHeW9wbqOFL9IA0+c0tEiIOlJHdWbb7EAX
aOMOeYwHhbSSZa6Xjy1bGDJfCORR8unUacYRQMRn2xAEPrs6MwycRcNMpS+S/hoGyz29+V5hvukq
XbbOxoK5ayyPrF/GRW/yBMBWVC29qiAJTAQ4eeNKrNFXHUrBqhRp6mWairveRrMYRcNtaFtc71qM
x7ddoo28DDI+mkiw6jXq5M7r82IJFN9DGKvIw1Sy5saXki7/O/u/lOfU078++y/iIvybY1/jh74e
+x82TxOjpqbZIJt+qs8NjQXbfIpzsrNY+3rq29QD/EcOA0DbL5THr6c+lftcsTuEQlsOUO7fsr87
fzn0PQPgM5lhqkkKGYTtHw99LTBYYFWOdYomYPF3TPkzrpdizLVVFClMyl1c2zGx66nxWH2ZpTNV
VxWDlc88Z68/Zu7tx/x9/JjF52XNfunLhN5qKKYxseylkbEyLLNySq9KuHUV/DrGis+D1Fvkn8Zp
tAuxMgtgd5Mz8DwW0UvpYIjWZyQeynIyIdgDDNDyEDyn3HfpuJKQ9CIteGTZD1uvVBOwQdkHcy/N
yOHMZxBfb9VguFYRv9Velt3YFkdTGclkZ5IVm3GAzyiTPqGv8SIo+upFT6bnsE/sZWvnwVKrCuwy
6HjLPNmKRNkyTGkXQ128qNxbCB4CYzWZ+V0cKq/6sSrGY0k2xGAQOOxlrPiCLLjVhHuVl6rvjf0m
ma601r6TffOAP8w3ATx5x/9uxC83IiP7X9+Ih09N8/Z3nTI/9d2dOK/RbWLccLAwSvuhAGf9DsuU
+f9cpH8rwD/YqWwU2LNjp2DhwDz/663o/YEFxuY3ooD8soP/jU6ZMv/nAhzvDosNi6wkk+CVj83C
dwV433kD7kdbXo5c2aQY9wEGPshUI1qVOIJyE1y0U4qzakz6Pr3XOg1TIg1+3O6qKWauTL5uemgQ
nU5+MugtEFZZFSUI8QLP0Ct+anT3GVEXk9+GdTwCQ6yJjphBrN4HlHVsGlwCeK6AtQbjNHlUcx8U
V6RONKPCDvWJ8vGD9zqVCA0XThcOmp/rYT35pqNBmJi5QMheUpynagp2u+5D07rLNMDyjNrrHQ09
HtAC+uC2UvpxOxhjl7xLwx3WYYJ4yA/DBNkicH8GtDDH9uRsZy8xcIqVRyqashirsfeVDKlUn8dM
7iNi5NScPoBb3XrpLfRL05SjJlZHhUm/CM2NNUbvtlTICSzc96TImHjmYe47Ff9G2hfDsr4DTEOu
yUUUgp1yEWYx/M+Jkm/BRaCx4YZ3nHShw2eAAKmDWapVhVLKwoeojbG6dWv88XEAcUZjLckGugz3
Va1kZ3MkzyYbNG/jVsVb6kzWxsiM0MeqaW6aso19lYZikYYOQEyry86pisKfIeour3p9kQshfVcB
Oh+6xlsEJ2fLE43Los8MJuw41jGwo8OwlZeKAmlrT1m31Dxq6aiu3x0ZBHB+YtCDedI3OFjRTmSt
7myIHW/2nqUmpF9HyZG/mXVHaZekefSk2CaA0kjNmzfb45XnBWzBvTL3m3kKDnsUllptuuwGAhBE
U82f6RqPWUFkciiScFHXpooJlP1HSYIb42VATR0a5XnwL64wFQAiCWV75cTsx6dRExhiRgT/6JWy
NbzgwW/6EiKiOVT+oDkdg0dY3MFQpFuN6OAlA5d8+99j88tjEynkPzw2y+b//N8ifMve/q6K4Uf/
9+xkyggoh90q6OkfqbwIQD1kofgCsaHh8vr27DQgUvBQtdEk/0mr+Pbs1D8GkDxWmW04JIX81vBi
liB9UyOz6WVcqTJbNBzSVEF6/iRRSrCDu7LwklOX+5PlkMawMcXDdx/M+ctv+6fk0y+vYpB7QM1m
6i6g4R9rJRHEBDhODEXakgjjVemqRYS+YXSXAeZ4PzGaGs2erhG9SrZwRyjDMpuCix482bVaRVdZ
TEqAFcUkDKvdStUUaAFux/Rdi9WlGkY7qee7ro+Oce9tWQIe1EleNfhexVReDLVxyex0rybp7J4H
GZOowls78+OFNL+Rds/7TCwlHULKHjNpSTqF8PKOqqiGmWvD9CHjiMiUgJ8fHAVEJLsgey+VKd8E
cnCY1TTwjzwd/Wc3cWqkbYE7STfvA8NzNihhjGc9hyusoNHexGoa2X7UiSrzWaax5CZrFDoeANxt
6MGx3GkGcLJFb7gn0rjHYeOA4pxHN6i0WqMy3PtJFzZWNz3b1MpkWxutlJhDlpXGoSuWnZUjDoI5
aymXpL0qR35/BUgczMXsmCmVYuOWhM7bxCVxCDBQrh033hqZme475EfumddrjGdrDB36wrHsS45R
47pkZjOcI23eI4Wjd+HVtrPHVRU+qbZmPpBOznw6G6cbsy06c+eivyVoUkcMxPCkD+wl7ad3V5Zs
xmymsz4cX3OlV0O0zDoAvyIMx12vWz35Zp3jt3zmB7CUzacmCi+GEXDZOLjkb4t4p2Bv8pnoU+2S
enKNRQ7f9pj5Xql516hTSatMoOO6o4eiucpRDafmqi81Jufxg5tb/YGvrl/ZIp78uqVMhjRAEZAN
8d4mDMV3WnLg2zbTloUXzLuqXiebVPw/9s5rOXIj7bavcl4ACvgEbgsob+jtDYJkN+G9x9P/K7uP
ZrpbUk/M/dwoFFKQLLJQmZ/Ze692axvDjkQMzFyT3t6EVaJxw+TnuMjO5GQWm7yJb8zS2jsI9VgC
ZbsyhiISGup16453xFgMD1h8nE98haQJpL49TvZnGfe+lbd+GtTavar0m9DuwJCU6dpV8k3qoO2Z
HJJk7OpL23Zfi7j5OjNUoKiWo7yDix+cuBv8g8vWnNTz7Ay+4XY7FhSnBdscSqp31erPda5sslHj
/iFQtp8/SFDi3vpAXKUheMsMbnFgCak1vFg2/O/FNtd2m7aHjiEhiQHLSc8hqYb62a56f+zTl4q3
r+3gwxWOWAeDvQGCsUM48DIFLVIpKDXIH1cGEb0rrS3UfWKR+6TNkY8O5Jrf8RatGiKpeAl9JBpE
bQ6IjCKTBjsK9JsuA2011t0x1Cce5k7bZvUE4irgbnTy+ejyIVJLQSJzg5TJOTmVcTKn8klZOi+1
xF2vhzdFXZ2Qj3uD7p7yfriJ3PiQ6dVaD0i3DsMJomyKZCMaIcE1ZemFjXpJlfS1TLVXplOHuE2P
ZeYc2E/eLKPmZ+SSlll2tswE5WI9HxchqMUoEhxSdutU7HqX5XRDjESE+GxexoNTLvO+XoriQE70
l3wOxEqJCqSfIaITazJStr4VGjqcasus1Jvfn7xkuP/1fGeF9c2yrPJ/nV/O92jWkBfYGaGDdaqz
GXVnPGRz6kNBzk5dbhAUNBCai8aFqmn5qlV1e1PXqXrvLE62KqfpFtnhSZ0CP3XFkzp12zqyP4s0
CRloYZgE0ANPaVY35cIznaFlLQOr9UYKUlbHiPyF0+1Itnwn7bv34qR91EVUrzFuoTJTcVFmhTfW
WIj3WpWKVRcUWy1ptjpqmAy9Q5uLL3OW3+HfPaATOS5tdqh7Iriq8kRohrvtxpkgwzne6eRVeIB5
PTsgETEyk23IveS3antrzr3mVZF9UCOXzzWbJry8GuOzZnpI4sFcuXaPdHLWr8wYsHFt2zPr8vQ8
VMslapN9OlpbC6MhKMF6HxSMEHsHAWCODgA1+NoKq1MWErArCv0qziDT9/mOew1Lb0VgdTm3mzJp
rtIku8WlFa4GQI2+XSixZxCWFDTNdWy0g58vbkH9lzyYs0z2meI3FhvHGPLeauIBdZplw/RKBgyz
tcrRbWgvST77uQGOxjV3I+eQ0QLQcMVJrdWBsE3lS6DZy6oil8TukfKg0ND2SiXPsu4UC/tZV7ON
qrKGJgL1Zc51zUvaOcXqEV4Zi6X5hPjJ/PjE2ZFR3D+W4KiP9PHNOaOS3f/+UWXO82shgk+GwY1O
ZDV5Cb+UCAmRelg7crJ+0aoayaHR+9Xvf8LPAxu+JWAPzcBWbxF0zKrml4GNYS+AEt0Q0QXJS4p9
FffxLq5um5HJZJN5sV2TI7T+/c+kAf3p9/rrT5W/9w+taV+lXWUainJW5+LO0nUGnvwLt+Iz3d3M
lgLLROdYT3Zg7NGmpeDUScvLilEGJcelR07Wc6mIU9yZqodlepO5o/buRGSS5GryYDv56IfETInM
fLGDdDpomWH3PE1Fue4XUaydSql9rcLQSSTYvO8nYbyXBXhnk14PsWb8kfGsrmvVjnxO4NnvHFv1
aKnvejNbtpyHD3046Ps8JBVg7r4Qar7jUrpvm2ZjtyNYbivZGWqkrBOVCiUbi2I7L73q1QROk3Rk
0ULF060eFQAeYtBwRmiviD898tB/1u2or9oq3jemsptH835acBer6cHqkPES8BLSGhrYUDr49XZv
7dMlOWKl8Ys50H0jU/EKBymnrPo0qOi/4yQ/O9G0LZpxPQQLT7C6Trswx5BS+WVChle1JI7fZMG5
IgeetMCdVtoLivLpjp01BVylAKUEd2AYneoh/NgqFfQFrS/f7LA+N2p+U7NKx0XSrVrtMFhExQ6W
sRMFepdK0x6KGRBnQFL50PQXtiYmIeoERzbmV6dWey9g2VFb5jaszJMY/z89+B/Nft9yIf5dzv/1
aaOj+PFpG4mzGBjPK+fkVFyHF2VTH+tHGPJ7a2efHK4e70MfV9ZBOxev4/H3z7o0TvzwEf7zhzNz
ZFyrI4yQH8AfHnV26U6REr14rnwSwU66V22gzWhH5UlsQCo/XCne6WlYo2If3vhHdplP6uoQb4IL
u8X8P7yany++7y/GQJkK19emjbJ+UU/M6pgzV06iS6ReV0a2itWnZvje+v7jn/vnM+uvP+MXwerS
5L0SRVnE5fo1bHbufPP7v+jf/g4CLLVwmKMx4vr5D4qSfFEgsXF5K9c1sLfGoub8fkL9z14knYz/
3L7LvMlD+Vb38d+MPuWX/tm+oz3AyKFB49QdPj3yXvpBe2CxY6Cpoo0zcRn9ewsBiYcZAsG8qkb1
9dPoE2snaUnfvxlsM+u/kh78VSREAKTLAoIxqiGpor885uTz5tNkzs3VrAw2O0u911hgFmAW93Yf
FVexaZ/jiAWwzcITXbLFLpYCZgnVWyMwb9Om/1qqVU2IW7RnNnqMWJ8OKGFTXfcU1qoZ61WHNeui
o4EbWLwiNT6pGclYBitZNBGbIBSnllUtQWY3nKAPYiZ2jN2fw0rXYdTVsOJlVbdPWflGIKnw/ZGS
7USPeKFYY6o3c5pdeuK+B5bG+BPYS7JGtp1lazWaN8bhg0WoicJvtM6a8d1lAR24KeY845VU9e3A
groIbPAB7nEwa8LiootbTht4uh7xiKyh0WuXnNwsvIVp7SJNu7gsdpW0vEq0hI+Wtuay82sW5pE6
vCCouI6i/hyOszfIxToLdhLiLg19Q+p+to2rr3O5iYf2cMD5+Ma0bhWzqic0fq+0rs8c9TYKl62C
PJWSemVXzR1tfEu8THwlL5yUGBkNMYDV5rsFcUDudO8FYgFiFy8R4oEBEYG19AdClXcYNnFlVZ+E
uV+Yfq+XwKUHM2+FVCM4yBI6qU8wM9yoUrGgzZz3QfpmlOati6QhitFroWW46hE7AJrwl3AgGhIb
JmKIxKXoRhxh5vNDiFjCLmJtBYUGbSV60kgqKkRen2OpsbCl2iKb+8AnC+hNfFNi1BODWbQZ4VQ9
6XoVrcAFvYMGocRtvok5vs/Tg28ij4RMzD13epNcmcvCniox7cLYDg1gclcbefclAluBhV3WDHZw
Y96mZVcdyMkfvFayszV0V+fJWqCOEOPPYJiBBnAB3cdSldzqmr5NdUKMLJDcSaG1cvXlEBEMEhYq
BuIIyfBOKlGvO8n17gWEb1LkLb8F+h2bc+13LmjZwLDTzdLDBi8rsj/GsH1wmo4iwu4Z8YASjx2G
KQtzd8kYdxX9XgE6zkyDaYN5tYD+NIGS1206+nIebEIsjxfz7CTdkzLydeeml0GHs2ScV6RFGmDP
Y4k/L/PHUfLQK6mfCNAXeoukpSeV+R6GHdF8kqRetTVgWtO9MP4NV2JKvrik4rH7Ro46DLDYU935
iqfttZj1B0SKX3n9DI1KlaxPSXI3KmqkSNLdrYJih7k3SJZK21Ug4EFAXA0g4SkoH81p/sQZdEhA
xpPHHYNC6dcxMPl40dewM+rLHIz1hh4S42Cv2OcSCD2rRLgEbioJnjJA2iRaY9SK5zFZ+CvXIDBK
qX+fRnDzUVhsknTaBwqZpWBvSagZXgjewfvcTVexKt5lnOZkEsDdTACJFmGT448PUKCkCR2cY3qt
b5wqW6gn9W1Q6s9dzU6DYwpPgbWPCfuBcho/z6HBN1fMjzioc99Gy+f23btCKBEzH9q8QPXrInjC
dT14M8byRadyNaHzkoZJqFHX9Kulqe4B8GLZS+Z5Pdm871MQPFN89qugCgTPl7EBAoIW2h35iMbp
7JUlH8sGSzgvD6aRqk/bIQhpHC0MlmlMClJe74k6tHltw6EC1DvluOOomxluEFwTqZeoGx4LVT10
I610pjB/jNHyr7CGn9JIvRvD7mgV0b02C5XYINsvmoRGzoRTZE/KCR6TBpsyfSCbF/l9DlcoE6RY
3UVRWmyasQ0jfKOwLYeaOldJhmhvgp6Hg2GuCtVRtirZwSsUFqgj2rzcTL1+aNP5ppLgP6FN2U1c
0mx/u4L/V4vIOv2fa5HzGwFfVBy/gMblF/2rCtGJteZ6okFmlYAq+IcqxPjjW3yDjdNZkzKJn6oQ
He8zG1bsEcz4f1jAij+khhlXFxnSpimt0//FAlb/1jv/u+9Aq4zcgg2xyRKWV8E3/LlSddhT2CRH
L1ckTj7W6A2JUp9hwFU1veeSb5za3hIgurdmhQbXfSStB7NuTyRU7tr3iQOTt+z2eZKsSR4KWl8I
eG7rmMncQ1a6ZE3o6k2oFM2+oyAAQJUlyruelewZC80YoqPAIzAR9aXCIspEsms7Jnx5n/Q3alEZ
0EfsuzGVfR5INWI62aIVhl9FS7qqp/J+npVHooYejNLqV6q+ZNg5x72tzACRnYNGVBuMro8GT6aV
FiP5x+ptlejXOJ4e9aHFPNYZrG87OTFqyJoLis+5IYwhgpBOdmjoY3YkwlSfrrpGe6uzhEhfaiyf
RPkv9Zgvfqcy/nQnZx2qHYyfMtI2KdEgJCMo5rwfp1LxojE8alzkBkdTr0XHpRce6nAByAeTr6YP
x2aoniLVfVFM4nSdzLhJsYd1FnFQMcEHTbI8dM2IGlOrLlqArKsqP3VVo02Nb92+Gtg35KcqzPda
Pj+mbX/EVf6pNtbsq8osPN0wOAljDBuKknYoStNd3SpknUW2p8wAXgKd7taiBbzS2TOzlawZZXRk
akYl2j9JRygTBvY5u+W1k6bcyhO4YpTvH9EcHgpDm7ddkKgroIle4eh71Aa7vm/QZDWFZzCXIOmj
qSv233afbzuLzLcVXKW90TVe21rnbiI+2igpW6Ni2Jhq8J5y/6TZBJivn0jMnd5Cm4xZvqdXZi6D
XBx2YzRgBzKUN7UhZbEZSIPWUgaTrft1TlPnzMqOy1oFz6f3kQ1k3sDWUTR3pKmaF73Ly6Omh/Im
Bhq/NP2OS2shEy0z19lAZmyOJpI5X7fJeP4vPUssoZh7pW4fWe7t1F5/HAcUZ2HUqn7X6hp9sJ6c
EB5ABSOCYx1ZWGuDAbZgMSWmR9JgsJ01Tb1Uk0ElogNfi9Nh65oVs5PwkKdtAKdCf6MlthBGzvGV
MPBs4+vczE6OlhPNHjv3DIdO8T635UYf4ucyhIHhkncWwoLHWTRnVxjlV/GUb3841P5mDfhLNyvT
FjhtqFzwU0gLhRRx/DAeqAxcndxj2lWW43n6Yln+fxwi/s2PAOSLKgwnJI2X+kvDPFfh1CYU41dp
+96n13N1X7in/91R39fdjHN+d0d9+dq8/c0lxVf9eUmh12PgYuAS1i3eBanS+VerrP5hmRa7bjac
uIUR3P9LsCf+EPJxYMJhOAjqflQJkdSBss7BDWwbYJih1v4XlxTmWh6wny4p2k3pCDB0Jv+qI1/E
jw+gguOq1Tuk14Gbs/4F0ta1VkFz2lyMLnuqUmVVTZ1LkMN8EBLxVuQho+5+p8J+MyUEbnQtJolE
dKDOOE4l5LvFTUj0HFATwZCT802qbVL08BQ/UtYig43J+jfj6kPrKwAxTn/penDL2vBiQ6nToNVZ
EltHbf1qu5mvsGx7ZPSt7gq2HWE+Bp4IrMHnZZebHhJeGSvITTT9Ba5o4dcSlwe2C32KYpsb4Lqf
w9h+xbgDqEpi9pwyqTy2kndlGt2AIXxbIPIpM7QdV0L6SosNaKpYB0sC/HpAWURDRvOqFeW7A+Uv
gvaXI8OklOVX7CUKsK20a5y1JLyH5xJWYCKhgUljgayJ9WsrSa7VwsBAGVMDjBI2mDGN3+Kt4YZp
xw+od2QjaT1B65GDZCXigkF4fY8Z+hrVIdA5tav5lTJxIo/0roV3yCl60xZjs0kyJM4KTMQINmLU
TUduStUTZFvLmO59qJFbEZY0xigES7JNLShocev4YISXB4C7xc7lgifKUiReSDbqAedVsoE7/wU5
1XwIh0jz1EIN8eklztYYHWVdwXu0a7iPplPh8wuCm1lCIaO6czdzyPTZzfAmhhIeWUiMZGkr21Im
WcaCpU/9SiA3uLkQt2ZWRSxzQ0GHB5dSSEClCTUSVGUA8LImvlOAsWSP9EEfCjdTIi6JhcrXmcRe
TvAvM0FNEjbVmXhOKGkhMYnkWW2SGGymCj8zDrRuPUikpq7XtyxKI1/o+IATCd4kL926qBLG2ehz
7oX98tE3qkFH2dOVSHhnIjGevQR6xgloz2V2ziI3Xd+Z7K8kXxJ76WoX/LPcxh2PMjvQibT9GNRk
iI5DU+y7ApLoIMB0xOwcV60jsl3XToSEhuOdIhGkaM0/kHxjjc4JnUjDwvFViSytyYwJVCCmtZmZ
OyUn0j3R39kOcl8CPNWn9qzkiuSjO9jLoaIuUf0+u+bMmy9q4Reta9+oM4bkAzHzmkUfZFH/Tc1M
STDCho2eppDPvJ46JWKDXgXuN21mIgSuxZi/jEXVQuVj+hG0HcQCa36c2E+zSRyb9YSv2hnxh5YE
1gC7KyH/9ON2zJDnxmXB/o6+TYtC+0hgcr2qwbuT5F3cw9+4auwKDojbwkApPuOuvtONaF/oznFw
IPR2GNKXaKuzaI6U6KwmSP7LGRGYmSGfyBvzVi0hFWh8X6nkPzoGKgmWp3sia/U1WpWX0Q137Wge
EdR92p3Y0KDJo8nE95LPh1KZ33S5FPmW7lJP3UhwwmAfCNjfOFM4AbtORNc9FfS+NHhRZS7k/Dbl
nTH27SOr35FNvg73wFbbodkZsWO9hmlpHcgDysLrDLyNs+9qxXwNQlsPzokVp9sce4Hfu8GTxiZ/
bU06j0ZACEPA87IzS5AWjAOgDPPcrS1MuCuewpcejMiSUswjq9lF9hKshHSZU+qT0F8GN86yXE1F
j4E6Z5KjkAGc2SFrKaa21LExx1MKXaYPk8+wETeNrZY7ZbQ2M67HHSHSmScqcYsm4ks+D4+1BQmQ
T/HWCXASumQa1Opy7ZrxsU9ny8NF/KZNnONlARcbsbU2apnXdUG7qzMl5lkLruZU1b25IyxbIV5x
VaCuTPeFpEG2RvFGYEW0NnTqTAEyMk6Tdx2EZJkwzwApWcB3WS1AJrFy8DnMEEQKAJR09QU6G5gv
joWiYtmyndwqg3MFHiPeDEAsbWCWxFKygMbILMBc4vPSVpokX2aSgSny8S6XVMxI8jEbScosJDMT
5nC+SvQYnyVeTOKLtsagal4+ohPU7fo2TizUqo04BXjTyhYuZy0JnTQ393WkX8wIdqcVQqxtGpoU
UTziM7suwXwqABZxd9hPiTN8JBi1t+OUHUfJBmWHeQwImrZqBw1jfDVLiqgOTrSSXNE+qTaxqwI2
daAnQx4FTxp6tlJqqx4saUH+m0fmAuOLzMcXeydccn80MKY2c8fNKMmmBoyVRLJOc0k9JT1h04BB
NSUPtY8hbMQgUsk953ymM0sHiNJKfAc+joWA2OuoKFPgZAOs1VTGW6jkhTQSwyrgseZa+DUhvcmi
XS0V/m8AubUbYDhCcs316HtV/L+Zh6Ry/XM9eRd/bf6unpRf9Wc9+S2vhvRaikOpHZSV4b/qSe0P
1SIphl0jikKX5Jl/1ZNIywV7FcpFG4fGT5gvomwYkaAxIBpO6tj/q3pSly/t53rSFLqcyVDxUvcy
Z/m5ngRSn0d6GatXBHxigsgXiap9LcMvKgsWi9FqYxen2Bl6QK6ufhor/ntDKIqtFVd9XW0oU265
jV7bdgGbpEzbNo2ei8ba1vK4Kpxz5eKZaMULSXXkV0j0t0hh5OEGD1suOT3sH6qpuIcqiErYJa2x
5qj3Ydq9IHDyccccrTlZEynytkRkzSbLs24quKSm7hBZxRoujPDSJd61PZFxSbE8a6HYjRHRyWba
XU8iQmFSPCxOeXKT+tm09XyVWvqnMhZPddM/phpHttkTjO0qm0Us1wRfixW/2bZyMX6NNNko7G02
9OTOi2Dcd980iDOpM4W5FbWyadqBAyp3HutRn1ZVN4NWRABPnJR5TFSCHJNR2RFxQeQ8ErFdr0CT
Mqe9rg2rsbJvx6q/5XRrHjJrfssqMkPs2jmEkfqk5tbRUTl0KnU6E2FGxFoolLWVFLuORE9v6vuj
abZ72y1hDwXWYda+ALJ6DYP+YXascTWbiOMXZ3xNVVJJsto4ZwKOsqgIU7e0B+4ozAGqiXPNpH5r
0SmQXoQibZp3aGi2DuHO1RCf+pa/WRhmpj/OYWI3qzTphuaCekCL1gGESiYZ6EwBOmEqWMxK7fal
g7+lk94Fjc4ggUaoNgLwI9UihiCjc9847nGHdjQOvp3iPgSFPs7QpvWy8efMRPIX1ahBZTRNX5OE
VBofRYTqTwlMNBMm2n7S+Pi3ETDT0n7YQW+SxF1/yhneagZlNBfMHYTMpwit9FYsFfISQ1yUiNu8
0yu+By0BiWrP2WS+FM40MtMb7lhngOBFLuGbtfUlqdpPfZ6+kt6KOU9kj6HNVIEox7M6kPSWAsZr
mI2AruwM5PsD4UdG6BtuujOj5sVJrW5jUJaurcB5mTvJWzCR7dhi/NI6SBgKPMI8OXRrOMwdT01c
WrVQuYQv2eAXIRMlliPm1KKs5HmBtEWu+dFGmpKU1c1gJJCJiF6p6MxWdhlKshgCSlbsIfdZUOUZ
zOpg5WjjExzzG8AWHsDK9jS2L0TGssqb8QgrJPdLqRJbI1WkviK7J/L1GJBFtDjNRGzSyDsOO+22
n8twn0aM7eziwj7hMBXVJ6qtxstYcagbdrLNx//mFN/mFHLF/Zt75a3o3v7f6q15f/vb64Uv/vN6
+TauEGjvMQyxw1fRg/3relH/sAWjc5yFHPuEd/77erH+0NBRIry33T/znP80NUGUsREKO/gCuRD4
tv/VuOLXy8WV2SPIBISOZM02flWrRZoydnNuXqL8dWkv0/Tyw5/lb6ZxRLf95ScQm8AshNEK0W6W
kOOSH+ZxfdCaXWBN/aVfrDUL3M+5Mi9ZkNxaTffJpJosxyb2c9NghK8Ue2Lbdk2drHtB+LCt2OW2
BJpdCBJxWvU+6aON2VZfFCT5aHJPLLomD4oCkUBRdqUNmoWjeOhqYBhEm47Yejlc+CN6Fn7beWOU
89JyoFr7SZKqRkslJJgUEX/GU+WbkmiF3D1YASfI1marIysgRec5kQwsNzU/+ggVdCf5WJzb9VGT
4f2h5lxR+CvrDJyWK7larE9YekrWVjKN2srQ4W9pksQ1N8WRQfgrqocTGj0SlGF2kYtQ7zIwXoXk
eTWAvQIAXwagLycKDaxSxauikueDm+szTxVS67BYt3Qom950fAYMdyKB7K1We6N2uUeUHQGKh06S
xiyQY1OKsHiBQRYujY876lAL8RZoA2lKLDBQb5I7Fb91kmPWCnNlAjbLwuRKIaDJKkaqfP2lBYDm
9oLcZetkSjJaow/njJBSm31DU9U7WzLUStN9TCRVDdTudSM5ay3AtS5WX9hwd4T2JwdTMe+Ru2PT
kpQ2YzHvYsltiyTBrQflNkummyXpbgGYN1Xy3krAbz0AuBEQHO8FFq4Clid73QN5855rDk9maXiw
lC92C3kDqByQzdtIUuZ6cHPCHM7R2OzLeSS9O3mKBhrVHEAdgv4TnoQ7W5LruiR70kHZaYFAINlv
ShB3zmJtlKl5xQeHo65zt4rRvpDK6TPXmLbKvHxJweXNIvIa8HlGOp0q1MiUJejQyX3gmyIcXpkC
PCb4PT4FTFCSlzAI8FiwNtoofc9jU3/OoPsc5L0mKD/ZpCqg/Vr6UiToCWoF11Ot7H2REEBJA2SJ
cSIiJt1qkhRoKuI+Ah3Iih+GYBwm+Ozyd1fLEbJI0qCzCOsM47E4xLG9+EoFXR5GXuKazwT1ISvW
Gwo+SS9ckvFOBWeo9LRyuiQcWjW2FMint5OkH/aSgziEaopBxGjhpzJnI28uWI+AE8NOt9exZT+q
kqnoSroimYDDOqKrokmrJH4x/4ZizGcFpQhi6PgyNbAaa5SLPtoCskPSKvSa70zHMvJNRoIoShR1
3S1muyokBbJ0bNIE8l49Vjbh79Gsr7q6OXZs8iuzAjLboyfB1EI8uV63OxgFyTqM+xP+STrmtELy
jbcvmBZ3vUw6TaCZVeuyq0vccXF2JTKVIMRMaW+Wgd84CKoPa5kfm8B4E2m943w7JzSpnssIlvpH
OQUIQaRcxALmaE1ex57wjsGfwkdVBNlTnxa34wD+m7Ezim/0mHrmNYnpE9Lf+2VVHJkpcSBqvGgx
3hQ9EKWKqSJn1CEEqJNBJE8GYLSg4thDbiOL4U2mPqUoVQx4XaMbZNtiSl/NJLBWbSznoIF91DoE
8oEZi/dqRFpAqGOLuJr93z11NIu52NgaokQUviBMjZwFeGQcN+fFSS+GDnzXbW+02qayIOx1yvti
tYyWz5FHNRz069Cwm302Dw/Qfu9zPff6fNVnfttgZ5nHLoeDhF5pVO3ytTDBJjHWQnwbqf7cN+zo
iP/wm4rFCSEHzezNqRjgVkbDtkAdtOXoj56Cmp+g99l9kRsxtanqHvq5SYglCS8FmmsvE4az71Nc
UGYp7q26RGFiJgTJ5DqMotkMgo2V1vd2MN87hbU8L0ERM40r243Vh9pKjNOmI+KdsKmh2OKMYlTH
F66aweqfmzhzNpMzx4sH5iviVoq6nYl8Z4VRd2M4OZVvXr7IgJpiRK4i5nXfllfqLA5pPT+oUbIe
oIWvyip66DP93ulrF1PRNNDiJ41fBtnsVcRjrSpVfTFoLElgMevn3q40vyqphtOIB12Qu0sVbTzr
k9vdBbo1bZxeAf/Zq/N3WeY/Skt/2WRJsbpja5QarrCYUcgG98fLWc9z3NZhUly6lFnrhIDXHm/G
pt38vgrQ//7n0MTSxtJL/6UI6ISMbY6Iq8HX0tr6A6fSNYvLV47LZjXOLm/AnO2GqWKJme5aPTrh
hloR/3fkpDpZAe4kN72Jgv7WrtW1EfVeT+woXOmvLN1RkPARMBecbGr49vuX/revnGWOkHIDXOa/
7PqsvC/jzk2Ly4hpL5zv1QSVd/l92/ePb8MvmbRIfF3xHXMphwbg1X55H2C4QoRL++FSsaXFNWDu
DezbAKBhLKGXJOpTGZ6VKitvCoxIM1Ot0SHvr5yJTA8MprxJDnRn6W/6yHDvSOLx+nK4sIoCLVqi
8beITVhZZXiJlfgwBciDRp3PjZ2zOZ8J67m1tOwt7TJPy8J4u4wgZlsN+yDrb4TtxofS6BuZv+Zx
KtG8EVvnlbWxTaImXXEVUdpENv4j/WtsirdJkP1sMauYRHaeF4FlRcwK660xOatRla+WiXFoqCFD
i1wSTbU4fAx6Lb+vR6DJrhaerLyyNq1ddTtbQ2FfcsVpFZaGRKTrStWvWLxh6Vpgz2lGdgrUt97c
9JbYcy6+OAoJoWLUdnNivmRGE62LqsCeQo9kYMdfTEqPiY+ZD5Gt9Ccl3zUdPpdcmw69OrylsR59
zKSKqzZKLpFFZ5JykKG29Qb/DEsMfbrN6b+wDzIWtZfpWIv2e0TEPz4OjJ5+Kpq/Pw98IOUMSSpv
v2ngfyiaA0MpsbtZhPJp+pvhtkjTqiG72Cz1V5ynrwxmUhRT5HbbE9OPb3G82Zm/Cov8CIOYHrbn
jojicdHPVuk8E/EZbdrcqtnuqUz9LWwvITi71eAMDq27me90LnV/1OLaR/dGPcJBpOZlQYRpfRfm
8eRpUQv5eUTx1qHkRXOzsfPloyntN1e3LJaNpfCaXH+wdaL3W8DuBqBFu2xrr7EUzK2j/Zw49n4M
9C+2mCSbjmPAzVhNTfeBm5wEYfd1adzZ+FUWYv36Wb+zhuGcJtEd2I/bXLikqXfPyDrMFXWjuob7
Qi1YM7DoEUE6MlnAwK5IiiA3h628KTwTXuUaL5qhPGsRdIO6W4x1JNTNsCjTSplKCH3NViWSyWXA
jdKBPnrwGUupHrOVo0BPMhI1xTWPdy/r7g2SDF1nwgg/vzHY+KiN5q0QbCBmXic2Q7g1VyWMSlHY
m7E0/UjE7KkKhC1ufJNWENNnZ1mX7by2M1aOFQVNaYf0JXwYB8W9wYn4GQtFbibQB/ZEjpLU4Nkt
sc9h52mafbJbvL0kPiE8JSEBchjgaCrUtI9OCtGxKbMEVkhyV3htRSboduQXqXLMucUR9+wcLXsZ
qnZDakLh7k3T1zRuzSwYNx3Xe9Hkld/Dw/EzchPB7ByXhJmay/hi1IC4tyqH7oLeKEFtTf7qdeBo
u7DAPTnWp8KxqHq7TLnKqhGpSCYOZjge0ZrUnkVWzMqoYpTWKpzFajwrLV1CZnuJka9L4s+ASlzb
1lqwfBqdC5xOe96UaGfF8FSp7MZy9Yy2nEVZYJ6wUmLuCILg2OuD8Frivj2R4OkbB7JQqRt25dy1
/mwDbx6oQkRJ1i7aLbw6jfYfrrb/8En9dTqrR+6cuFXaX2zufYAKeTF50yAR21dpc9boWH5/H2EE
+GEa/JeTQYrtfrqxo6igu+BkKMuvmvgyTCSOwYV4Rmf8+x+E7OGvP4lIAROPDXoG05I34w9n0Nh2
RNgyRbss2kwcRjy1Xhzo91YblvuoZE+aTsOxqsg1AXaonZ0ad7CdlORDJ6SEjHxfD7/pJzmGN8jg
HJRf/aMSl1elKu4yyje6Hvij+t0EwdsvunCTd/FrAZ1OARZ1G/Ys8awo6rZwF4+A4xnqaeuZ3GmP
Em9bdIZ4cnX3rlrY3hjWoTdIQzb044K926rcqzENjw3XNluvY6oXfJgUfEmOhxzsKYcCEmfBnoxz
xNawV9GvIVlgLZeN4Us9uc2THgZshFsj/A9/1Z+H+d/fvh//qL+IQ/6PvfNajtvatugX4RRyeAU6
d7O7mURSLyiKopBz2sDX3wHalum2TJbrvvrl1KmSpd1IO6w155iJqWOs9m1xtMXXcPo22r+FMf/j
0vHZvz+/ru8emizBPaRpOR4j+7aMHbfS7j95LT5+K97UL+8GyMwskRM1GI+Geo7oDHKbZNhuHw8y
34U/JTR/3CUoWmxJldn88terEFaD2kLnKhyVft5LO2TsSe4jYX3yNOaYgncDISglzgetjsJSi3SV
nelfBxpRNQzBVKpHtjEvLGqLu3TlL2A7u5H34Obuw9b0+sO3m8gLv4jlM9Hn3/iim422/fiC1bnO
dnnF7xf8iw2g00cOAVlMI+2qXwCbWIrbbp1dhytn6VDlXSlr7vMK9qALcnLpoN9f6sf85eNfYfzq
V7x/O+fJ593DTf0mtdWa+/5INXuJT3rlnC331ODTWKwfDO9gLrK1cwxXYoPLdHPnLwDpbpj33Gld
wLlfUDpbOAvp0G3ydXMK8ae7weJL4XZH2RvXxtbZFvthU99nq9uPfzrQ47/fwPc//eIGSmoTpXjk
eS/dwi1XzWu5Ku+UBRDzBckgi2gJNmFXrM8vh2W3NTwO7PEOlf4uPgYeiw9CB/e77335+Ff93ZbL
vv7drzIvenfkk/Y17fnxGG7hHnvTBpTHXQ5fAOm+a7q+W3s4Z9b2sdqoXymkLT8ef359L98qdE8/
v6OL2YapRhoJERNHeSqW1jDsJyk59h250x+PM88qH41zMevYYOj7fkrHI3tqtx9eZLEZzG+jht23
pRS1+ni0Xz/qn1d1eZiUMiZ/o4q7YwjxafRvyuD6/zfAxZlPE8RAmRkHqMTYqzF1QMdafDzCJw/m
zW/37kOTstLOrZEPrSCBOEtWpfo4EZ7w8SCf3aeLya1R0iburbg9ivmpIIehE+t9PMRn13HxgnXF
1HQYN8bj0Aus7aQ7CtQz548H+eTtsi5mJdMPpJHiHKsBiEDdIR0ybUkE6zwLHVI8qMc+iD65db+8
LoCeODLRkjr6xZAoSDW/jNruqGc/5jxEjTg1c/3xZf3y8bwb4+KjSQOnkapQF0cj1qnfX2fZJ1WF
zwa4mBKROgmy06v+KDNpU4yGP/7JbXpbHz/68OcF5d17HEY0ffyU95izgVt5wa7fJFccEbwdlNdl
cCKX8xPD9Ryp9+FcM1/1uyEV6n/kgoasUY8UhnNm1auAsd3hWTlM2949T17JH7jGEnmja19L7k27
nFf181N11nac2kOXuJDW3eReuP7s5/1yIX8/5V6+OVE9yIrPR6ec5oWcZL11qm9zxXOTtb54yN0d
ssD9D/kbh7P6ftzjDvhk9lLn6emjh3Lx3HupMcPKGdlLLBBYLsj/VU3X2aeLG+doHrR1t3hSV76b
U7Fdgbpek8H9yQz92U+wLtY9AFCSDvW/PUr7whVgItz4u7GCjLTvXsWmXGYHa4189UfwpHlinZyC
Rfz68df1dvD64C5YF+9JgtFEb3JezXolVpWruNG8q9sm3l2/FdstjkR3OqJZewAqs8hW5do6k7C0
6JbhdnDDr58xE94OZn/7PX9+7pekAFty6A3lTCnVUl+bazNdiNW0mg7RXnFfgq2/InBwW24o6h2E
Z90vbXYH+bJdJ6vbaDFvEn7fHPwnCZt3Yf/cup9tcGXRUAa+dMLNf+9d116T0V3BGsUQZ852t3dd
exKutd8cchTh/mzakxMqQ3ugZqfTUp+ReT9JpEQBkH8jU8mjYf+vowBmZN+7T5xzC2ckivdIwjTQ
fphQ/joJxnTKVIu0u1MmT7p/Faqt8VUocmhvjTrPg3MhDcZu6irzqxnqA8wIKa8SdxDS8FRPVvPF
CfXi1nEiY6IA0w3FSsut9qHROpo8FLqspRnG5NJH0hf0MnQsA2zuqaomnirMs03WLa2UU9cT8p2O
z5ygntUQkyf8FbOxsyUJuWs1BfCtjjS0lMRcit6nrlTvgJ/UrtnQXwvqvvECeXxOKhpa1VAPlFaZ
yBsl1zGo2uxWTHuV5j1lutyi2tRRrgpqktUGf1Nm5o3eUxKMTNDsGvAmnzKFXVM97rG+5dVtqalf
QzvW3MLHjpbnMfVO/NlrO3IyD9QcACfduIlN69DbzaPKFiwx8/SQ1cW+CxPU2b5qL/TGIku6DiDv
D6VNJy656avyviKA8Uqre6qhOSfg2kZSXmdY7wedtjpxipHXavDmBHGdhxwq52SVj5qJ9bdRZOpr
cv06NfWIz1+kS7vpNuzTyInLNgqi5tKCqD7S7dF1ilZ4VlYoRgMvjLkHZJQMHjEKxibK+X96Lzqq
eMWXPEy+o169thFlYVZ+UZLwzixaLNltrB98w99GpXQNpTwFIkNvwCeHzQ2ILQ5mEHKR0jA3zTu9
zjA2GNZ3s8j3EyS+crQ5qcg2QuHcslzE+bFbBGKP291r5aGntZCv04hCKukPZC8gl+uq/EtsNoCn
kNOtEDgvKeLf4taHwTBgNAxle6VXVn/sZu8E+ze7dWt92yZm9gVinljUSUf/FbucoYXHHJWeW5EJ
sYjH7r4e429+P4CYCbFLI5ZcWbX9AALj0QI8r+J5TDM2gmL+GXJ/I42kOPvTKU0iJPTqyvHPvKzF
Ue+7Q+ok52k0v0Ymcv0ctceqFhGaf1TlZLmM+9bktVOM+FCoBf46uuShZD9IFtKr1hgiT4mF70l1
tEqGhLCN7KQ59V53zHPfYB1AeofqxNJB8FdfSb4li0G9z9oUJkVh7crePI3RAL/exP3oQEXrKxYg
v7mzY+ubKYmr2uxeVT+7a1prq1jmIe4TgjNCC+Z16jTUUnkOAFa/pwANTuoUwAAXabcoc/PExZtu
O4SPVQ0JX5Gzk+orZ0hAq8pJvkmS79mFI7tWSPJspmXntitslNDh3sra/CE0kabhzFPZjubpXkqJ
zTRCtAi+bJpQGrJncLXJsh3Ta6XxH1OpGD2ozTV4KX3j2NMhzdurTqGL3ulPhFQ8Y1jdIVElMFS9
jlHspXAlwrI9Nam81jV9o5VpskL2dtVhH3Zz3c5XI4mmujpnqitkgRkhypNW20dKnV83IvGbneiV
mXmX9zR80aA4iFc35PA9dFme4svJ0N5UAOBWVSpTO2z49UFeEAMhdPUsRn0H6kY5hnxYHs/cOOUW
mxOjJ/QIa4N4mKo8uKkVJd3HemysW27BckildKNYEmAE2Jcaqlg/wAxvtuGmlTTAxkCnaKOVMpEQ
MZkEb6vTf8v0jLL/52X6Nnxu2l8s0vPf+mORVhVCQ3Go8rAM8EWz0+7nIo1dHXm2o/MnFEDmBtrv
6P7feOEG8g9SaGRbnQV5v0vrdPl/LNv03d8kd/+WmmNcbEFZpVnq+Vf4Rg0gPbYzr+LvjirqPHiZ
VulZxizOjEXrTNGHL71lBmscLacylEG/ovTCV8ISMtobwqVLZDtwRXph09qOrsi1u9OTPPVypbIX
o+aUbhMQa21rGzvtCAH0l5lQNgPhHllGmw1A34JK+VNj4CxCw+CyEi0bUT2HFqHebfdK7slygMPS
YipxR6W8qoT+YuryOhhJt4PtRyRilHWbuKw3tePsmzjAF2+sJjVekkAQMi/2B1Mt7q2hPw4qnfix
1qN1OKnPKRpTVZYfAdwYK8tnK1GiulvXNJWRM9voNHCNAe3pV7Zf7ltV2jhavEzC+NbvQaEIjRyQ
vhTXuaIDIsUKxxwib+C7yXuN8CUPoTQqplzJXSmzTo6WfoecXa5HlWZoFODewP51V6fFj7TEiy3n
A47mJr5KAHYuogACMAECqUcGq+FZohhZf2xsiSMq9TZfBEN63xo16WYVmUJ2cR3WcEJy29kp6IFc
mrFXTq5iVunWaiuuI6QtkO+YFMZsAGNh/1AkrN6Sml+LEPmXbjtPcawQ9VNKLNz0RrtUy7zR1O6m
LHpKSFMY0kxzIxsxuxZFB11x9nEl/0Cmb25Q7AGtjbpxGTYmXW5fu+7a8CGM+f0B6U+QlWA+mqW+
6Uxs3GWu6cusAbIUJ9CB0sXAnoU0tggEowIRN2IcWTQUy4A/Fnn4iO30RtS68Aqg5+6kdesgoJhW
5S00cAQBiyHm75Gy6CyULNHXWdGdQOo+ECPPc2/IVlFEhdqsfMJjeYCCcKgjJ9pKiCE9w6Sxr6u0
oh3YyISlaDAwW+ijWnHMQ+dAL9faorNCkthExO0UT1VcRczXtKO7CMwqcZQmqn6Xbh5l+bTfVIp8
VtXGK42BjFzF39dBt23y8r6T+nXR5FdhUax0Uzi0CSN2lU2PGdYc2GmmSI9suX+cqui16WFNxWJN
XMuIUZ/NUG7O2h2uarTORTVAdHX6WztJV628qzgc9le+FK1G2UE7mJ8UIz+rPcIsYzpJnQmCicAI
NcXMP5v9uyKcFiqBO/TAUtTZWeTjNULdXTmI2HP+Ubp28DVxN9Cx7Siky/0PxOGkUWQaOrBy/lTx
kwsYKyQtgWISHaqhipjfznHWSm5sQwX54eTrWe2qo4bZMndQIkoiwACn+TjyQoKVJFtb1QD8AxG2
u8JP4lXW6987o0UhwTax0PrHaupeJmuI6UMjlQi04QzhH09+ZAKnac2W+praI5ntcrXeq0Ha7pl7
qkVslyCoRAWvKMcgZuRZbK60DjHeff+WJBDqNaECOuAi2sE58AtLkDpgvyUQ2LmEhxhSq2ZvAJdh
Tqs1Y4qOUp6N3e1v6QaDU0vavhMdPQIjT8PHetLV/gTZclMEAAzKGPgy+R36KooM/Iby9KzUwU3j
a70HTXun63m3qqUaYJRk7g1LRAvOUToCNfOlKgrCDVuT1NtYf0wkE/Fb389bpMncaQUvc5JjH+E/
pzxjFF9LX38O41pdtDbqWsRyP/DLIrwLC7JK80F1ZblH09AiPx4TcTVi7RSRQ6WwlK5IDbmW/G6f
2cXXPhp+TISxDAKoTqOAFg5KA6+qJnYhjUrwgWQMl89RUhA/7CPKhT++BNJH76VFkqnGR79xDlI8
PqWh+mNSZP6VwPiR9BnUnmghTTvcD4SVGvXSD+qbRDD1yCGUacy86T4NrSs5SdFYimI+pm1DTas9
IVFHBUoN6lLNjqY1hyQbTrCU8ZarrJiLwTKmRSS6K3qie8dgr8tdKIFPVrnbFGyrNDbROD/KBdIA
azkh3XJzX7prk8VkBA9q3dCwR5YIiA1ZmZ04A4OzZ5/TZrUJ7dAkUsLHMF7S6xfFKRMlUW3FcCjt
FtGXDeoiUKxTNORXnEUzerb+ySEAhpSBTdC1z6YzjEsyHm7HVKqWUzYbPx0WECPu7v2uwwiLdYgs
m10sJfzGbnpEh4dwvGOTmbRT4RqyKnl10b42jnPPBL2Sy/SQZGGL2UnbUDS9r3p8kZElPESv22rQ
zr1d3jhG8S1ioUOwKR91ud2jGPMJE9N9mHdK7RlyvQ0weTPrDoGrGmCgwiTZOgZepD7IvdhWq3Vj
EFcT6Q1C5Q62i7XK1fZLn0HHSqqQNjWi0rHTxTKRs34pK3aF8tynWhbwpxbBW5hx0EtKkrI2Vc77
LTfUaxC/y2UTu7bV7ro8r93KdHakJN8jLJeXaIyvEqYsfOpTsJYGZZ/mjumNcwBEzZe2x+l/NhUO
jFKDtKfN5Ww7qeRXoLFgE65VPhZeDbVIdIY4/kXCR7mClEeibeQzwRnDZspUPgnDPqs1EgyguECw
CvGSF8EDrZpTk1svCK9IOJFXZWM+FkkAEKQ0F60Wbf2sfJQLe6Pp9e1gq3skPJ4GMtuT03Cv1sNz
gE+ms9RXJ5l2QRddT4oFBKuVb3N9nsQlA24coRP/bbvfjC1zrfaft91Xr/XL6/df1Mb4Wz+33TKu
SBV2DKBvdtEWf/Rz2638DxijqbMrtRTzDWP5R2IW+RQEQLMLdpCZOm9sqT8cLQA4YLZY1LM0Dsm0
W/6NowX59N+LY5ap6qhW5lBb/bLSqknqoLRVkpwUGbLazmmjUvaiPtMlTPVgEcmao1xDbHhcXStY
qjpSHYCsbqgKy368zmfyAjN83NpfwhEhWhn1dwpv514mfJO902zGNluy00fEM1725tSe5bPE4mxK
ldk9ws9dJONJSGnP9K4++5ZKy7lO9iUe8NwUsIpxhQvc4eVsE+9s8QVixncTQ2apFfwD2lRuAmHA
UbKLjd441y2u876oZyhkxgl/tqSXQ5vc+7jUJV2j+iKP7F+EcrJxsg9ZzOQ+Ym4PZpu7qO1Nb7Ip
yJJh45vqkz5b4odi7JaEZqb0otHQge+JN6WWkW9QW+ziCh/XexU+dknVLnKjTNbBHLg3zcdcbT7w
dm9n32E+BmOm4URcvZ2O1fmgLOYjcxjKwCznY3QzH6jl+WhtzYdscz5uF/PBm+wu4xRxvvMChWP5
yPmc44h6Ducjez4f3s0KOHI9H+jDt7M9aXmEk3Pe9+eDP0w8Ghwh9ZZxLgtAZ6JCEM/FAgK+tb1d
1rMw3BmJrqewWEU73ZJMZQs9UEpW6pAQvmglyjel0vRFh0LIquL4KsRK2/lEgLfsSMMcCiQyu5Vs
ZNd67CDoF2MhXK1OXoG2PMBgPBQyNI+M3NQUs75HbPMVVtWrhnAFKIhsQsr0hjPBrlTrJ1VKDvGA
QbVSszttjmdt55xWPPFqYB3zTIAfCFsrAXEyRupS0zARwkYJ4+lKMWT4jMmwTEriz1iC/W0yhtsu
my0lPowIQS1smU3ByyQGjMIyEoPS8bNVMRewDMiYnl4bLwhz67l6lngkUDULLRTLDjuvNeM5RSuw
QkGrhMAVw3JEc+uDoGrNIWMbbcA7QAmKjz2AV8F/Gc+FMcVZWmMZeok8Q24MhzbGpPfrMYzofwn5
aBmkQSc1cJCxJOdBZtk0I8GOzQCmEKVsFeRM/WoKbEH+WNwObNtcZxwcz88by63wxzogIVwq7whM
LOs184PvaUF9mK/LI/aSw4UUnzvMSrwD6lKRQZZ1zYiqUJkzmIvBAeDI4sSZcpHLdRssfOCdOGQ4
QYGqiK0i2eVNW9z9t378tn4oH68f+ffiJcqLXywh/MWfS4hK8JCCvhnfI2/lXzz3+ox3ApuKKkvG
dE8D9Y/KDesOtC3Qf5qJIl+fW8N/LCH2/+i6AEO2YKX9K9axYV40mA2CiqjWwHBCd4Z85xLgb6Vt
YBOYJp0UXjBYqdB69OnVH8COJkZqup0mr8gYWdXjvDHBBl/fOHXG1tnqJY1CQZFbNwEcGNslMBRA
aaPUD2BfrPHFkCh3myFWO1Ud9XVctTj5VBDEQYORsKHls4a0TAA4SM+1aCNBNURyVrWiPuZlIr8E
VZp5lYpJoggtDvld27KvnCu+Bf+tRmC7izGm/lqSGMNOlj32FPbGbsitXRzXmjsQ72aEuOmbTlp3
avctE+w2+4qiDqg6wtRmDJ00Xo0BYq7MMpbUdfujncvMoTVlIAexxLoeSWOF2KmBQxHIl+3A1UYn
Wdr0V1zVr8vlRNwHJZLmHDc5Ze6xRXJsG+Otojyw72UbjwgpqoIQTqpzHU9QZzVVuRqpBIDAiU6c
z1+aCBiwjVdPb9PWtXuD84EtSNWwhmiXW3isDC0SzH+NvGyMCkl/TZ+HOrhccM/I7+GxSCe9wu5u
wEONW0yCbcTiojd4efpCXE9U29dEFCfXopdPGHbCjZPMvi/qw/jGpylaUbnP/cLT8jRx43goNrUf
psifLZiR0LDtBewhaXZehxMxd3np3zK3lus+jkt5yYudb/O676lBF9HONyX7KtKHhkXK8a8Sk7+c
XylV518rXcjhDtNjmJvPQY0XYWiYGhXdeUqUNlj6bfmD7lDmUbE7pH6YEfk5nlK4RQTpZj9CsLeE
HbQnXLyjl+FEZpq3E1KLESRD697WfWXtVAMMYh+Pt2E86wGybK2H/I9TA84RBtIjfRxU2K9dOfAD
WrWbuRL9oOpXvVFKu1GzyH0mF++MLx0gTQ3wR8YgZmjEYSdEEsRpe6grB3oXL9qJcDhzVVdGtTd1
FnKpwMVbz1sqe+rWWph+nbmFGNUUbKGi2Q2UQNy0D5SVofv2MWHNkjLnu4oV3oyz66LjWCdpV01p
YVtQpfI4IvTbqibzO5P4RjJwsWSsJ5hzfH9p26+tJPZRSqyJbh3GsGCFisN1JVDds9vimsmozjGZ
YHnupb2hRIcsBOkSdYZ/ldsc5TOz1CiXBLfs/4JtFaZbqLebpOIhEdC9K4eIaI8Ybyeop+cA/73b
mtFJ9EUP8ZMeitT2mWc7FfaMdOu0xtKGUpLVBPKR+UPN7YdpRUwt2Ypm7Ipznyf3YBIDFeAn7MSw
jLdWr++dQXjsZEnvaEm3gHpzb6fyiV7bvdnLNi+pU5hA5ggr9u3pR1kpN/C8txZx3FqWLc1WaJ4c
ij3mCw8P0XNoamuzxiwRBKUbc1ZrcCjahfrdSfiGs1R7bZ3xRqc4sMiq8mqsppWUENfNMyaWBViH
gq2AEOV+knGN+tnLNI53w/w+Kkm8xQF4ngpxymYIR4yeQRQbKys8JlL6QQbyplwcx2r0VJKKcr9b
SDZ9o0la0+PbWESBZGW8MRuxkow54UeNXkwbuxHscalzvCTEa1sWp7yUoW3LxRoJEHkqXXBW25Td
SrARsr3ICukA4W01ptFz1akulRmv4hMB0uKh/F/AqfX8Nn2t09cCJ5losXvY8maU4VAO+aMB46uZ
tIWiMwa8T91XT0h9bpvWXNFtBk8kbnTh3KXxhHc7TXEnD/I6A6/g+A5voC8RxyivbCf7MZKmwAy3
AoHH4dxemDbFyaAJtwBINziXH2WlpTNm35pm+WiHzU3Qj9dd9j0fy9dKlskqE1gVtWgVmWhZ/XGR
BPoylEcv0MJrivBXRa/d0COk6EzNopbJ3KZBK8sbyek3dkNBI0xvY6M4tFBE6Ehz3nAa1zTK2Ui2
b+Ruxad4bBx7pWjNTvNHBqyWeIoxL+TNoqjwT6M7eBm64pF/CuYfQbpjo5f4LOB/U2n0xnx4bvIG
iqq0T9tiO0kWQXMWPpY6wYvGIhGWfuXB+YOGaloUzfsH/KRf28pnJ2htwTWSsalTt2zrDd6RLYgR
OuoGtc64fxxq+aGo4xu4+SCsBE3CjnvnLFHQbKzW4O20iA7ur/Mi3ZeQ5nupu00ja2ML/wSpfYuh
dNf7CpVhnLd5F62ydDyX/kyDwn052Ndx7Rw0RTyVCHHGGqis6tj3fm1eN3VzyhvjphMcaWylue1A
iPYl++sabHZupIfUCHagVmV3AE5YzxPVVDyOSUuxwliXbIU78LqxhiRumM/NOYyq/L4ux52igvNQ
9fAk+YBjyYxNbxsyNL1JbXe1LGOuAnHSJiw88XdQb/dxm+G7JRKKQ2T7pBss6jOrvQiWSaR8NzPa
G231mNThVlaVE/MtWaWzN3xo9tRW+S5TK/EmWXkKjaZcOVpyl9Vt6lYiWSeaco4THNIJDSU2ydqK
2MaNn5jeoErZMsL+35OWaAVD4CmjukhSEqjC/CwCcx37ArLI+L2USNdr4ue2NjhogJWjiQ3gr7eW
XRcs61DKPbh6VNw6L0tZJISTb3rJ/o6fcdVENJx6a0VbYgmIlvmn4VQdiGklsnw/tpg3WuMOcORc
ZC29HIduG9GZCgdpl6s67zq2D852tVLQS2ivJpQtTV2+dPYcFtZwekjFVa9TmM9klr93W9rzb6Kt
90mTF+rQtx0itQxyMDSL/JnLAkM71HVN4od0kjMoholbJDdS+Hvf9x+dHLNQ8J1e7PdBMOfKms7W
9q3K8a55CIBTNg1dkU4COz0kwO5JFD8CbZERffvx5fxqwzsbLf4Y6UKyWPjFqEw+I6n2MdTpclvK
cpq2hfkl7r5GhflbZe0fL+yXd4+vieIIPXwqNJdd0aKz/bQIzr30te32VfCSpy///orYLbNZZhiN
3JK/DuHjL5QdDqXnXkcgvO4A6qchFLdgHQHMVtvjx8P94oroznFoATmMGMuko/y+zzvDMNVRbqMz
YfQu5jy3C9Zl8sk1zXrFi/fhL4Nc6BkbX2oN02eQuK7dtj7ETrj4/13GfJnv3ri+nVCuQI8/A/80
yYJLijsfkOjHg8zi048u4+LRlMmYlH3WRGchaS5Zek50plHJBPdkoMlqTirl+49H/NXTAUIrq5Zh
Yn66jDdKIpqCeaxEZ6u6rmQgC+nW8n/8+zEwh8OW0ngPlMv8Q9/Q6Cj1dXzGk0t5cWGBNaGf/PEg
v7p1GjlNiP4U+t3OxfMphtCyokjEPJ+n3DyEnBQJVHAd/zYGM9YjgfavPx5xfqcuH9b7ES8eFqlx
pEwqI7BdQf5Y86Cxgfp4hAsF+SzOMBSL4HYVHaPJ93ox+TSFTj64ULJzfAC7v2XxvMKuvjSuwxvD
y5fR6nN18q9eiPdXdTEkGGXQdGUfn3uTWDlKQSqNGrXYfHxlv7536DNlVk7DvLRPmhP18ZbsvLNf
OZ4KV9VuP7l3892/fDpAsHnbHPgBsAb/+r2WjRqBmqb4ZXH0HW2V3ebXCOVEEMefXMuv7tj7kS4m
OE7ERY3KJT4rxmtoXxv+bTV9Mr39egjDpDFg8SVZF69apCS9rU9Bcs7zk0HYjIhUV+3MT5a6X31C
vGw/R7l49LBTwnYMGCVKXlKJ+ExpWevwQjoPEqGUrFPjk2f0t8tSZd2yQNKj/SUKY6aKvZ9TVce3
yswq0nPbr6v662Auq+nmX75oF0NQZns/RN4H3NAQldFAR1eRAuqyxie37W/v8tsQMzhdZsNDne2v
Q8RCZFLKSevcpC/StEXb+ckAf3uVGQDRtMF3QuGNNL2/DsDUCbEhxznEPi/roJ/H2yhmY+q8vt2r
/8R0Ko/sg65e8cuCLH/nj4KsQlILVU+egMopmOLqnz09AHamQXOB84Vpynw8PwuyGlVX4gLRyYPc
tzTe9D8LsuTPgbVD88aKqPDX/lV8vObMM8yfc51B6xiphklxF0WdxVJ+MQM1E3NQZ3TAprR8OqCp
od1N7TGs9AUCmJ7okcnvVGJDVDNMF3brWwUVRSRRyy6K3yoocnpld5GczT1+xgiAGYySznm4o6uz
JPtKpQ45DUZKZ6ylsvAwdMDAF5Mc6LDwE0tyym2DwqV0nd4wxXUXWwCSQ4leuIVszOtE/qDK1Eko
XG/aWbLeNKTMVb3cu8C70TYFUrPyOyB2uXpV5yZalgxz6ijfEKEB3FsBX1WgiwMEtM8r/6AM4gvq
sRmjgly7LLN1V26ROHN8DmhoRGYceYnVwm8XFo0Mm6NS50+YccX0ACvjrMj0sdIAVVzXQNuABemy
/ML4yOxdzfFNnbs9Udc/tpTxoLik+yySDYoo47kp8hHxXU/mb+eQJtpXradZk1igoEkXRMxOy9Hg
1GfL6lKGMreIO4XYArv/jspnD78aYhgFWS/zle9ClIXXGXBs5GoDTCT1MiU9IIUovaiuv3QGnPi4
Gg4wcDqvj2jhTEBASOxbVVaHTynxkZBlABVqv9yyWQhcoRfHWC1uqmrwmF73sM28UNDx7G18PkSv
ASv7hgwJLT4wj1ajxJ0mizTUCQUqg53uZ8u6tOE5+5PmUqiO0ewXycoeLUj+WnuVSQjCk7QmkJqA
diUIHpBUxGyHHRjSCK9gcAZga8lm1h2gHFW76zukRJVcPwQABt0J2+g4KrdtIJamoAUcI9BM8vgm
yPtDZGiLBMKTa5oTGXgG0pmSwJVNnfihJwvnTJvNWtqV9lqkSrNRsLIA4iuI5cvbdaghV9eSe/Yb
X7K4gjNVnaSwpCrjJMDmUif27DQmwYCUNwu1KLlpnaw9ySWkG4s+bD+ktyIxtrDYR5eEMdqbNnvw
EZ8oL7oagnOgTKY5k7wJh+Eht1Sk92r7IPzhi6I3d3pDRzSopzU6vlPcGOjpqBwb7TdhUTAiPWHw
OgvJTZUoi8KG6K213a0fI+MrYqWjPBRsg0YPNlVb3XTm9ETh8Wtl4JcQEfIoJ45m5JmueLrc3fcR
ZTkl0aNFYYY7SSp2suU857g8XDmo4AIUyi3b/VVU63dlI68lrTgPMplnItJudYI5FnYoI90S0FpD
/SqySmQlCdCuKKUNYeXrXBmfs2ASm2QMNl1fY8IMbcfLJRTotMEL2Cv5EzpBRHEg+PnKJnvvIBeE
UETtQp7qQ0SIXzZAW/dVsnhshx9sSsMqbcaTouiUGUP47nV1xNNxT0kt3BHQlAJvFq9J5NzEQNpc
Uyt96jSgaptp/DH0WDD6nsx2P1B1j40lrpNmDqW3gDj55KqRvcyrg5gCBaZE+kQZjZQ4C8MjP2+T
BOLZDFtcYyBol8J00NVXV4qkvyYUgxeFSPEczvB+A4r/BM2/huofFNFmnIqn/A33D/ffmgMASpIA
5JpIAFtI5IJ0+G2Eqm+DFgrWNEcIKGp8pZApMJItMJIxYDlI/Gt/n6XxNmyrWz9EMjeHEhCpcRhJ
KZiJceUcW6CNtPVl6lt7Zw41qOd4g56cA2sOPIhJPsjnCARrIAwhJWnImOMRhjkoIeqHL84cndAV
Et/0HKeQR8mTmAMW0BqukjlyIbO1AqOzSgrGGD6ow+tQE89gzUEN+ajvQzN7Eohi14pDwXBo1aXf
F19q0qY9rSFnS2eDG7QGpWOLepxGVbIpXhxV/zrV8o9e4WXAZnFX1jwwUpC1hZG2DVNEXq2qzDr3
BK0EGpopKUB7nKb9keI7MZ1IOrvwNGU6e019DoTuJdWdCB+xaLkuQlvedgU4bEQHYqsPxq1a+o+h
RYp8nUav2UDJ0tcBESvs8DZN0t9DP0L9awkAT6SZU9n9b5f01rvW1Y92SYT1/h9757UcOZJt2V+Z
H0AaHNrNxuYhtGAwqNWLG5kkobXG189CVeetzKysaqv7XG/dnR1ECMDdzzl7rw3Ud1m105+H1/Mr
v52VsB3YnhBYAB3QvT8OrwnQoxDySKD6Jo36Q/9kzI4DKjW8BzPq44+zkvPF44TD04xu0IKV84/O
ShzZ/nRW0h3siY6DPZAWmDn/+3d9HKk0mFKeV5wzwks3YnQqiK2JsUo4oYSV6a2NqBIMngmRS2KX
iabd7EtboC9ivczTtD/0s6o5DRA1NXq782k4g1iCclrlGOoysFQtksvIjd56VXFbdmBbuyydUzW7
bO2mNhHgxSivYO7e2xULNgJKBrHxdAHy4J6cUULnw0cVmXcprZmzK5S2zAeBAzB0kaEOIjykCShI
y4c+x4zYY/laEA35IbSqZUym9XdZKXeO4x6jYhg3+pDRiB5uStGfh5z+DrLQyw4VpG+VW1uvo2Vn
DxepOyeq2aw4Y36qbXda+I25jXWJIc6vv45kuGJv87u1O43V0gzV1g/LW0uOm2CwEKBYeDWqKtx3
ifsi5ky8fuhBD5QrJvjzvIvnuh3SHRMHsRriNiDtAhiKPd0on6GPrQm+mjbsjknIfpja/qUswoP0
YpTVSbKeGu09ihJGsCUwXRblbT/hNCuVyzixg3gmAnIo2om5ZOJdmT4qKPhq0DApk5rGvCFz9iav
3w0v/3T5c+3IVxaWsOoDUb8GbWYta5p5AGkbBgimsTBnjYDpGIs8gVYFz53u21jvsIfdjKhMr8pU
4AyJhrUOeg+6a16vkGYY28kw7iyYfsu4I7RHs++LbJSHsot2nEVJAygV+T/g6z0Vb1SYHOu8uepV
vmqwfCV9tskH2RK3ET5Kq7bglxq06us0YJ5WbqbQZbAzPhl5urGy7sXqx2Kfmt1NV8OyE1P/wZWH
9WAmH51bijPeSnNRihHOsodSKQ5OstXURWdWb6JSSKhRTpDRmjkvAYaRNedJaa9HZglrfaLot8Gv
RF1xyWrMTNfP6+uhzgHpu6PfSL6gknme4717hdcfOo7InnKR1g+7xlSb0UbkYKrqWVo9uqox21lx
wSVA0BUMNKueXba1+Yo9X221NJjuzYLgEcsgjdos3FuS+o6NGD+SoIxXIrZvGOz7R4d8pSntLo2A
BD0ZQbpwmHHQU3yPpkISbOy+Dy6iXdObQM6z8K9yUV+DsOUrrk4Kr+aKXlBxyF3O3nDkkE9Za0bk
Fne41y7EMPIKxtQLqEcjEDeFU0ZdgWJtV1ba6ATztjlHfvj9akqOpZHp60l3SkTX+G6AB3PKO/SR
Ua8AgT1HBfMwx2maC07WgLT7yv7QdRXf5bpFIE7njSRFJwHKln93p9+VVSzUf1vDNx/Vx/jnvQnB
0x97ExY2Ac3VpCU4l/Hf1fFsW/DkaeE4DjnuVOV/1PEO4fPSYeJKbTob2r+pquwvrudBrWeUYjh0
zf6Rssq1/1TEg5jFXYcT3qQhZv5MVUmLxGLU5IGJMaduU+jKWgGDe3bRE+Zu+2g0zn08XavZVlOK
tVF6mJ78e5VM8RIBionjICZGeTxhifW1r2Yf36dgcsG/VdEWtvob92JDQIa/L9Jop/sZx9g2R6tV
KcweaCYNXbxoeMDeRIObwFRJv+YQroiHi0iBqpwdFopD1jMpiszgMWV8ztr2PDFiTwqvIiS+fB2j
+FoG5mvliKehw97kNMOJ2J58OQYxLtMyOrYtuiUbfNDjqHsvIcFEx6wAzSh621npRXQft8mLPrrT
3krZN2otR+o07abSeOnq9FJmMKEc91ZW2xiOXilz5JpRf98G4bMXartezx/rSvMPLhEZsiaQI+su
RQTFAkLOMIaXsxe7HAGzqjB4z3Hb0tsgMczpL+VsO85DY2/lG8Rn0MTRZxi3PrH1yFCa+Lk0Ao7m
RbSdTWgLDN2rxEI80NjI6+PIYEBuqUVu1zVyYjkjG0HAKu0CVlK/yxs2BRW26z6PkLFAqtQR21jE
VSy7JNmVefJeMb5dNUaNarTSt5UzBUu7a69GT+70iOJJJyl9G2QIUUK0WknG9RL0EzZ+R+lWb/o0
hqtaZ/LhTaucwTMh2Vi+WjL8mhDopLxMC2vlRDZ9lDECrE8ajeWuMLPApbSQtSS6TdzTbGj2kapg
MuvEIoktzi1uDdwwbNIlZSI3WyjRQKXEdTXuK/InTB2kqxKyslSk1M7ivevehZHtCjbN0vw6zohL
q4xuMkFHJ+CX0wrz3iZ/oEyTak2z27soNbFPvPxURMMLIcIPQV2/FaXHOt+PajU5DsVc1CK6rSib
iW/Zd2OTr7oyfsQTN0d5UaGEQXpNnILJ3jvsUtHkG+IGsO+NTr+I871pABuFE/DJ73HMi+JsVQFY
A30L3Bd9DdV+0SGNGxPzNiJVgAgFtqD+lE/0zVDhHYiluwD5ujfSlihwAgVgw75Ftb+Xgb91LANr
m1ff9XV4W7TaPYPhvZ7lh7ayPnLH2ce6f8Y2/pLVyb0Tl3ypU39hmdXRbPNT25Hmi7rkOkm77aBw
O+KAy6Z+V8h8L+YW/GjtEMwcfAtxUTWaxyLpj32tX+mBlWxasguU3zz1LhV1bU0U/c25aHGvgRc+
VNK4scPiGIcdu/DY8gnTdh91xtnSq5NfuMiGOiSFI0Z537it8/qRgu2ohujUBjBa/fEmg6wOHyl4
jJMAN0n46Mfu1vZzzKehtydob+t07POh25zMjBx5uqGIwf09PdDrVOugKejlMmirfSf1J7Lnk6Wn
J8lKGu0N2QQXbYWlaXIRx9DjfkKZvnNbKsmxWRnDROsQKaCZOC+TJ7e9hiRc0kQIu+eMrN/a1j+n
GoBXiBx8wnUf0qKl8TjhnLsxQirlxOsTQupzm7VvMM0DaY7TunKSo/TbC5AG+6FpobBhLw2C4Gx1
yVH5Y79ARnIiAAmth8zeurDhzF4lIKPltszlZZURsOjBSk9LXXD8Ew+haC8GYT2asUayc3Q7zT8h
ZchbIQaeRn9NBvBR+NrjoHdnU4hLPSYkznFJdBz7V0OjSRcWPjKykv4QEUxIN+xN1oKbLr30pSCx
Z5Q0Z5uw2sV5tI2zol/VjnhAG3Yo624RBFgsau26g/mxNKw7UHNrou3fosS9pYLxLzK7LPa6Dw8u
zU7anNGtSlI8JvtFFM7WNdTCMqFHRI1jrftqMHYxDVfD8D9i+hcLJrb6cXTHC/guxkYIANTYZrdu
ScHATVFAPqGQcXx9V6ftU92HtyWN6LH171RV7zKNxuvQew9g4bd85jt/TB6bMgA1ZF3FMaIdvVsa
kYO7lvQI28rPfePfhTrHOM/pdlqCtHXy9lXtXE+J2FW+5KsRZ62sAFwhDeta4zZG9Y4hDOOwV83O
BdFfF6ZzqmHVOWt09Aan/r4MH+w0bFj8KY6MDBVn6iUzJNlZpCUyVXLCeDrpoKNHXjhzbYbKf0c7
Y+v6mQTJTu2WzlXcpIXlwpgrO78DhtG16VtH0Wc5WbRhh0GtCu9mVZBpMKCatfNmpyhQMB1SOead
7A6AVVPgHeNnVtWojon+jMcsXppz7YkBwFvbSfLY5b5BP5kK1Q2AP4CY5tCKrzSFJO1fIH6kiC1F
8xQJF3eaPVUaZpnevq77bEKDNaFC7hOLJFzcPQJHDDDYSWgXCJ0PXRFeGV68sYZo7RrTQ1qqG5+8
iLY0EGmb2dJIPIjHonxSvR3NSqd1JQg96OIBEyuYC7Np3joCxkTsPVvKPHU9qlsgFinQaRJtEHrU
d0juxpXnBq+srA+6We2QiZ91e/iguD2S0ULZGCDKCulJ1Zr5VEz20Q3TE4WRSf8mpfJD7VUgVWvZ
ojmGoxSs1DmiDZ/gCG3qOFxgk9kXvnNhD+FOVBStMTWR7Bd2rser0CWo3YnMa9mntw029y4fx1Wa
ZXckV2U0zuMjLdG9rmsnSV+Vo9DWGMp9o8gziYO975ZHv2geHcvEEigOlclOa3qb2Cu+0rZdR7F/
PShOCiPKwUkF64perV02Hyk+bi3LljU33TC0x1YmX8lYxrUvs32uhzcVtADHCEloYfpipuRtDvpt
HWuzu1DTliPyxpFafwLOozqwPXMmeyvrTROJXdoaTwyDl0kkho2tocDGUsTRoiT8JSlZ3eOnBPof
kZX+oscSJWPmxXQk9loRPUiptpRHV3oHYjhuxN3Y41eKisecKRV9XQPnRxe+qyrvlkPUt/hvzEuC
gC6Vb74MekOSSVRAP3e3EYZ2Gepy4/vq2MXTRzHal01BMhDrewMCgZvFz3ubuQfzl2AsxFqNjnfO
RX7ILLrdieesgka/TiztImmIbNd8c1PXSMaVHcANqpGPBaPzbPfosiUrDSq74WIYPMSxff442NN1
oTnPhhGpTRGWTzqCx4XutJu47uBB1HxqT4mdnJeeEgkvnPxg51dJtMStdSpQUce+hlcdF3ch5j4F
8tpVWaX0MWE5lyOcA5g/n/RkVrRwbv1wKLbJlO7paEOGaNqLqZp3bdt6Gmb6foTvZ1UNKF3L0boU
cXgJ/WZJ9Eawd4OpvihQT+IPN2EnJ/6hr9S1rJNnFPHWbn7cHXPWqmTs5kzhzWcvgAtUWNdMucIL
aZLhJ4q9X+h3BmmsU27rSHKhEuj5Sk/ji9LXsYDSgfHt9BNPHLEGpkGr1buLm/wQ0n+OGVZ1pLWt
a6N5GkV5IwfcylnhXkbCv0yBKpGsNx7Ja3soE/lsDeYNCrX8aJuU2a3vgElvrOcplXsJtXoZ6SET
go4/rJVik4sQMlNmdTtaNdgncGOQ7Wylunk7iMigjKgqZoleMloGgyLT0daGCNX0z3Gbcm45QqUU
dBBRSfzY2TNCXR8MIwvPUcFwPDvV00Bf6va7svLq96Hq9+rGn2bxdCjnizjCcgSgEErJHy8Sq6Ey
tboOQSPsteykE+Q35zb1d39/GSrR7ya6cyOUy7jYMy04KYxjfhJ8KJ3GG6JXDu7GZ5/fa+Z/EWn+
4u8zlxa6Yc3qC/vn76qWo5PnTpqcs54bbeep13/8/l0kC3xDfFGz9+jHr8l35/GhXaZnj7rDvrLl
f6F3zpKHPybef/5+fvqtLSem48dSeiZKV0uXMYwqIsqYBn8k0ervP8ovLgXj3ZklGDZaJfnTT5F4
TLP6KY/PsPlRzDb6gpAO31qyDYN5//trzW/7p4/1w8/yU3NaF2HauU6SnAtzSf/Kpu5qVqypY7f5
+wv96kN9//v/9KEyN5IITX+/EDPbLCD1Y8M+Mm/FxX+51+Y3/fOHkrN+1mN3NI3fMOPfddxNOzNy
Nt7sXJsblbx2A3mSX//+4/zqdv7uEj/fbhNJrLmPA/Scea+Rera0/8XtLBEoET+JpAxv94+3c1Qm
IEKg15wjVkDGi8n4v1i80G8wmqD7Y9BZZqLy/Vgi0zLO947Iz5P72ruX7axHaP7L2vWrH52bmBGL
xfBDzD2u769BpD3taG9Kz3gQcEPNegD7uquYk66Y9f/9L/KLa3k6H8MQLpMb+k8/XitQjF5kZGfn
YK6p1+Fsx1pDJsg5Y938dql/ZUvzbOqvW54M5P7PKvzwf2EmnV/4bR4nnC+6B6h5ZhLoswH0O+2S
+wXE//xU2hIK+ncYMNP8wswNJRHqPHaiGTrwP21P4wuicZMWKoom5Kkonv7f//1B3l7/9N+/307p
a3Ij/LE68Jb4Y3Bt5rxOHi5GfD/eKGEUBQA6GvPEGpzS8sJQT5hL69jxIQ0hSxpL0U1uBU9RLwxq
5mycbtsctn6Q+RcmOqPXOMiWZgNfWS9fIjcR4qoXNaaJqBuLclF3mTyneQMdw2yTcE91bdwh9tLs
vaj1SltIqTXnVJnqEI+OTq5FHEfiNnRlYpGXMSX1V5n5Tn+qzKKyr+dY2g4Y5geyH8QXWdhig7W8
FkZl5ImNLL2wu2nKsdlbJKcR9zEF8bRW+ti+TJYLsdEtA/1otBJOU1lGKCpoqa6DATtcVVbNmhSz
8Gg3I2RKNRUtwV5KvrY1khJy6lQ/bV2LXkGcBe1VYNivLKsvVDlfI4deBasXYcuO/VE06QepyljS
urS03mkA0nGhpiv9fp9Nur1pAJ4gt/SdRWfoYbjs41ZgyesjOgyN9yi0kO5p3KuvQ0gBXpuZsQ80
FVwAVp0ZU5V76ZbtsJ+KotxarL1LwCakD8bEu9hewWbCGBklmCIUsC5WTuPh9qkVyrP06LUSCbOq
GGbZ9rSPLWQ4IfFKyIWCrRuW6aICRoYOwouWOfx0eg/xqvDkB/xObet10y4R8mzCY9qOqqd1AyF+
4SsEKpiFniw8U6u4n0jVcuxtLiS1T0P8YFD1l7E5NHj+gmEpkxmmyUK5jrTCOOt+HN/ChDVvMsfJ
PiLdquCchdkjcpuKzmeJ86yLfkd1/7tqzZaVv161Ll8L9t4/wYV5zbcFyzCAEwpOvi4qfgvDwB8L
Fv+EiQClAILh2UuCgPmbgMD7AliFdYTZDsOT37Ar3+Y03hdhWzO10PzPGvhPFixTn49G3y9Y9jwJ
4uyE/xr95p8EBFVZp9zyxnQuihoXGYXRopKAGAp7vBdRuVUzsqIX5UoV7ZveKjiqg7/QB+tY2ypB
/aXdS8K2dHs82RPLlI3TFUx8g3ArPDthshmVBxPRF0uaisa6xEUZD/LUm/ZFnuZbz5e7NjJog4AC
9hymP5VPqicUilvHztsNVNEPzcmOMAQwqXSWf3KdmMTEIiZLu2TCayDgARu7JQlqr9s9GWCG9+AW
5hXtirMND2bRVhmxSWaXPMTOSCYo7MDRlteETN76FLWZzSR1tDGk+0lOeGVjffS5H52mqS0QkXCd
0e62k1b5S7P1lyBFdrRa9I0/CBrVCctdQ+egwfxaECqHisEoegJpyf1bkRu8DBObZTR5A2a0akbe
etHV27asMLjlVrQdGHJvXD3Y5D2T5FnJxTx6yWh5VVmJ2BtjfjT1JDwIzT4oJlRLr9LJAYyZg8Q5
4qfeuS1F6GxGr2qWzLv4FLKyzoRa7LMeiVQ+gaSzazvZM1Qgt8rE4p41xCirl9r37iINM2aomTtr
VB/UVmCe8CgSHp2uagZROCXgHWuWtcsDBXg/TvU7JjhYTAd7T+dpWFl+cQPwZYdF3l0GNo5nfyIF
Lg9rhXS8IzRVj6MF6USbkCbGegrCcV0qtGm2H3+tBG2lrhQAQrTJuJElSWOTHa8D24PIpYtgpUG/
2XS9LmMOqUaKl15le6fV7J3vkQ7Va168Lzx7NbiWv+wsywRz5kbbJreTcleRXqVuvd7TDsIJ3n0t
h7epYnmYigCub1Ltq9K/Y8iEyrAxdpZWNEtOres6aO1159Gm6LL8mHnVqa7Tz3xAZGJNPWSg7qmo
aWoj6nxojTKiOyjNZaeKp6729LVbTxdthgYl1a1l5UXXU+N1cHfggPb2CVEjj4T20PSC1Ld+2kUG
/RbHt84u4JqWTdcOkbcCK8hhqNVblMcXiQM8QpfNywQcDf7evRyY3aWwnn2jROk5MsyKRBmuq4jo
0zDIXqUenwJfWw6JH6w5E52yRO6aeWvrXe09VOF9ro2cMTSfgARDfzfD4qGLvZUGNnlRgfN47Sp7
rQntubNoxvaNdzIHBHEIjOJrJ7Ze8NQcazLJ3Kk+0jAkNwx1YTixbeU2upzcOJEvt010uvKF6xzN
gUjnir6fZgQ3YNaASobji+HexdraGr1jEYYb2UU1iYZhtcwK7S7s4HE3cXINTUNDAFo9F1pzEzmt
QrU5XQU2tAbHbFZmT7ZeCK5Uc3bTjNZoFAM6vcIWivxxkQTy5EqJxz4+hxzIWotf3cA027mDv43T
6UU6XbNp0mrpgGS1wQwkWuQvyUO7aPtpj27nDZ6CvlBCQIfuJYSo6LZJ7DcJMnTVDohAstJ98LUm
W4pU8RCTCbgwgwagEmvhQk7JsK0zY0x/NyL+u+MatBH+Zsf96F7ff7Xn8qr/2XN14DGYdnXQ/Obv
lcD30DJP1/FuWqZn/YYR/rbnyi+24TgeODFcDvPL/ygSJH/P/o0xBl34H0JnKAX+vOXSBKNWoRTh
gj9LI1QbFqatwvEcZlfm6LJ1KGZ0QyPvh8noF/pogLwzsgtvSm680Xobi0RbugjVF30AqG8Ma6je
jTzUMSdHnR7HoDlvMohPSSsfCIG+N/vsE1v2ptScYhFit0yKtFh4tUP1wZlbN9ILXOD4z1UnwZ/Q
E9cBDiY0jZAOxA8cpCdiKh2OA5j6DXbzBVDgJzLQH/xxetOUhxwAvGNftvdx2FxV0iKCTokttqhb
UoHu83zwL8H8HvK+KxajVh+Fx3BlyLpNOuR85gnAKGour923XrChd6iAVGSbLNAe24JBAns6JsJL
mlWbyQpo6LiuWsOIwqvctyuk45vSg3hjonsTlnhHrH+uY+EQc1qOtxNU5LBT5lIU9XIqB/a/yAzZ
uK0CPDhxp1Kzn9MpNtZOr1zoVnpyICVbrkoKLRwmaosJA5RlPysiwOPKkZNJL6eFKdBkQ6ZgkmE/
oJcuY4LYK4t2fsumTQxuji1jcNBT3Iu+pyEMCacMSFdv9GCdRE1XodnwI7abwE+slcrRKsCevGAq
uI7rcasnw27qO2fdgu1YRD55a7rVLd1JQWWH7WC5aO2AvnwUkX1KdAJqsfFSh3Faw5TMWEK1902W
vYRQL5QN/yaBfmnV+7Ftj0PlRgyPsl1u6No6iIs5ubw7ST2n3cgIHn7b42g5h7RAE5Ha42sp7PLe
SqFVpBY7fLfoi37fGsN2iCKFt0PhNQnVDr1avvRL8zi2sVhIDdjDqI3DYkq9B62DguKU2qaXBuyk
DpcM2npP9ftJQnHW88KBtpaR46A1HAOKbRgG7kJ3weYZCtos5AANZ2BVtQ8T88PENj5zk++MBf5J
9xDsqPgeCMWzn1ZXQ4Cmemg8vBfTU13NZFRE8oz93WVCLZkNzSFtXe7maHrqwKwwC3xtxnBNQPMR
LwK5xMUzCO1mpUwG+rHOiC6pkju2i3t0pB1CP6LpdZd8yaFZFxPOoMZ9LiXjsqp1ThWCzCmwtrqp
HgWYm60+gudp2xfb828M7AWuyM5Y/89DoZPT6EwGppiO5Aknu5hiNICmv4mz93imIjOHWNe92uZh
ry+o2nFX2ONV6NhQ2RT/S0/V3bg1GWL1sATw95oqlYEjjakGa+sAf9vAVjDeOROHhiFPIE5X7h1B
IUcwFs+TF5wSOVybhrblaJYtZCnf1UzeljC7HbfcM/3lBlQz+WRYq8j4ILKq4IESd9zGT+g+oYKr
/LIJwWdI810ioKXu7K9yxaA6rcWsPzTcVaBIUk8cCn0PaSaC4CG5GmN5ExP/MA/Qyr3qAn2djoLI
Dke+Dap5jZPySgmSp5Vrq1Xd69iBxlJyrLGPhVdbV5PpbbUxD0D+kVd6W2TiqxoRuPrxdD/l+YU5
+W+C2WabtOMuVVJbN7FxGQBUXNRFUAOLYfBM8MNHXrjTuiUagRCKYgYKlWzsUH8XjDGAzNlJtVRW
dTEJF3S5OISt2AdBc1MxHwe/Yu6dybok9+iYp3zKEFlv0QDitSfNWmE5XUVB2qIbsVb/tgbZqOnM
0W/96y3/TK6y//GLMptXfdvy8TRasz0RN4xnid9gpN+2fEHFPJvO2d09esVz7v23Ld/8gtrRQaIP
nQ6l4hyL+63MNr8g+Uda7/Bnbapz45+U2b/qC9IKx7vNpMvA0u/91KwuHTGGvaurUyUF0OcpieVS
zG0zbSj1Y+bWEKa1ua1mRcEhVOOz5wvCzdzoq9nZghkxpS1hKEiq1qVJhLVelMV6iEKOqrgg8we/
6pxxCWWvJuyZxwtkVYjguy8IrbYSFX40ra6qjZHZbEg1dUCGgCBjfdwEmCbLdZPUqLOTyuo2ZRWB
mcIgJylA8CrNTHKO6wUk+ohceLph1afm+QPPNAYhO1TodQwWEUjfC2e2oWkm5R6ILxQCo48fswKh
g8ClmHJ6BjqFdX8tzOki6ORsyr6w8mRPdvJ+YIgKUB6qOrIOm25Z166M2gouCsvZ6oV2FfHM3xTK
OzZFwGbmcwwhV09cZHVeLTEKxOvRiTD4FVq0oqF3Hpr6rMVE/vYozRYjohHWiH4dYAmVLE2NhivR
HKvP2Gxuw0S/pY+Tkm2eNNmVVsbTybSwfJXFxi+c4CkP2Ynp/KlapcBmCHgx8+CTmi1aGgXqBiP3
EDW0nBbM9FZz7H5TeOwObgk/qqIUwlsmdwVIQUicw0JNrrMyRBacO5+Mo7CI2oWJb7IZNODgPVIS
UnQwrZJjL2kaFgbtk1A7CSwBnSPAa7aFdV9LQtbY9xCTJN6GHku44KC3HFDQgW51i2dbtfRShEZ/
YpERuLSsR9Sz3z2KV793ir5vef9pHMYDNzMP6Alw4KaX9WPDO9KDXo9lHV0aelBszKQ3XoOR76kn
3OU/8Jp/S555wvfX699V0qav9Z/Xv/lV39Y/g5IHViY66xnF7Hgsjd/WP7TgFmJwd4ZTsELOYXX/
Wf/IQGFKwTjYQr/9n1Xz2/pHNQStmCLFAIH2m1L8pznI381FEJ7/XPOgKofezLtgRSUX7afbxAr8
LAM9Js42Rrx4B3PW4PxfxqdIJUtrqq+9YHrk2VoYZZNse18+amFQ40vCFEjnRKqESobSAkAUy2de
XTtdvpWEhbTkQTnpsDeHejW1OzvSnjH2HJS/AfN3FpH0TzSjvKVjj3LlCkQUcY2E1hmnd073aF9a
jqKQCJ9dS5HQZWrNxuqb5ylPdz3HspVpd1ecC4m3zbSQf9ePU4ch0EDDaPE4LFo3eci0doSaqX+E
Rf3ZT8a7p6Edy9s4WFbGcJt6Qw+umZikUXusJos1YJojFhwPvp68zJxxPGpWfMMeMTMFQSUPihUM
0xf/of7kKbb4P9Zfq06swIoZ2HRDmL8K60YaVCUKGvOrHj9xSiRABM4yAGybHDhnpgYpt6lW1Hqj
xSwK6hqbg0nXpDDHHgUimR+vIrRUtw4HoNhB1gX4KbN4hwO/pGTR2llMXazZOqhLdTkrbrxkw+k2
RoHcVYLYGWZZo98310itiYGYkuq6y80I/zqQmsKlnWQAjMZNxRIclBHwrwz7cloChp8qNqgWyLFV
Wd6C0AbiptrAXgySHDUllY26sh+vcTFY4P8ifRX13TLInfwgkS7hAbLCk7L1aNXLtj4EIMa2Q8WG
g+4IsFBJXgwuX1NtRdx+GjL3tmVQtssyVv5OONpb1/DzYfkr17hwMcWXrJUhCv2dpTsfUsvtRVv2
/Ro9MTWItPaJ3tbL3I6SK8+kzSvqzFmQKBOuJTF2WysxQbV1tb0FVPBBTI/c4vcmn6rSkit3yv0D
3xzRmKrPXj3iOxbGGOo7pc/pNzoW14yMAyrMJq5WwnU5SVda9laMQKZyEs0WtU2jqfG06tgTnnD0
+7baygD3ApBEc1tg1SfwJrAWqrY/Qwb/MD4DgIGWuZ3RB8FCn1L0+5JhVuV51pueUqoCp6W1h3cI
1CNyrrKwOoIleqHxLjOH2BSs9Txz/qGiRbjrpzhr1gEsQQLLTW+gX0e37DOBIbDDQWlc53NwCMbH
+tioSUcLTiVf6cNdogkfOX5iLzJTxlgXygcy7/ylPimQsrLPabgyaOvqZ3IPHpOcMBnF8G4dpBQg
XQrZOtLd2akVPYgsv4rKOnwZJfpWI/ADVLketvQC7drUXocZ0mbbScIlYN5yL1vnI0i6F44+m973
SOmT2mcfNbPLPnw2teiA5eFpcHp3iyGYDJy0mhcReeKr2Lex/Mx5TrV5D21S746h9FUpgkMhbHeR
Vfkl09+vhiMfu0QbVqIarpqp8vZeVe2ISr6tJ3lfBo5a6w19x7Kt4K+P4YLe67g1DboDUYYm2YOA
17MzV15w4+tgFlyf6Dzig8qjTeYJxTaop8zYhXlwiF119sz+pA1mOadDeTwpmKoBiSOwDBMojsjV
3yKPFoATN9HONzskpVZrIhmU1sGBmEUqU17j4k/fZG2zZulthlivvMp77ZbGxezJjsODjx6Z0pF4
qnjsPd4S9fmoQcYsBtYklff+dYpUinIejXY7PzyTrhSlFBdtCkJNIhXKLdbA8Cbxq2LlGWi6WWHa
bR2RcKTZg9wWlhjXUxR4M9kzYYVxx+3QjtFa1aGJ1jW11nKKMNlX9ifHyGkVW9Me8faZ0vyYmtEF
4KB0bfa6sTV7nPamXhCrCnJ4E7g29kPSLFYWWPSd4Qz2KqLfEQbJhLI0NLaGOYcxRrzbIOWpNXra
xkkGz5kD9hzuxiqlk7+47bHOXdtVZ++CjqFXGwlnq0W0W6KU+KfSJ6sxS5llsEy1i39Lvd9Kvfn4
8ddHnZuw+0BX/P6Lam9+4bfTjrC+zJof4id0izMFZ9Jvhx3qQIcOLicaSi2Gp4w7vxV7sMapC6no
mHWi+Pix2LPg13hIfKgTUXB4/6TY+43N9v1IFQ2Iw1EHGYrjcA74GREYGBni3dYE/JL/f/bOZDlu
ZMu2//LmSEPfmNWrQQDRMxjsRWoCoygKfQ9H9/W1nEplUrq6ykqzO6hBzlIpBRGMANyPn7P32k1T
OxdKDiE1R7ypdgXxPGaanT2hGxmOiVDD7DGKBef2TA7Q3BORAPg3P4sKR+pYTMreskrjJNhoglHv
yiNdjeJ2NsrxLCazviiTvnpBYjIe9GLMbk1tJJyySjFs9ZPzGuoJozvTDTda2sIVdqCQf4xVdnKE
0TAX2rFemV6+zXRtDJa8tD4Rx6l9UYxkudE7OxEgXUnIKGctJwnA41RhN8GkpzqpOikGqpjwgqIQ
4Z1OrXEjaiWPb9XUyqIOioXWLEgqYpqXLcdvgyXSKSOdCwpgNfSoOLS3ccACU83PsHSH67bVXHpe
JF/QHF3gHl9CzE3XhZU06b2SLpZsl2aOQ5iB3bTIwQ1oD9YACQ0ahLE3h6JfY1nWAwf1RguD1e3r
JiBNKw7UofWs4yBPw+HbwbiQZ2T17bisNPLoPCelYWxnrUv3M04WL8BJe0M43+DsdHkCrziK92nO
8m/DnD1ZeOr27ps8ZpFKmZlsncXwY27M8VR4+VwqXw9a/xx+pIbq368IUhe2em3L5/bzT5MG5Kvf
LQuaIY8rkgT6puV6vy4AKOLsgdICsJmKgO/bumD9BoqQRBqUEDZSCynD+HYIMn5zUSu7DrU2Jytc
sX9nXUBa+cMhCJE13S7bsRghYdhV5d+/k456k6XUZBDEl0pG8pYl71d3mekmynt4eLud+6YH+WnP
Crc5XU1u+XBsuvQeLyqDi7eHopTPR9nU0aSy8/Dc4EXiERJfn6doahaerikfGCyvmq9PnkEyDKln
b48kD3/L89m/Paxu30NOspiZkq2Em5iswSW9K+AE3Jt0TXWgESoceQ2sJkEsabypa/AFFd2iHaEf
oMEt4TyUhCZixGPA8VDTRmb6adXL7JvlouW+0jUlKvkajkE21E9G0aRPilVbO+Rz8Ky0IQ/PjqpF
7ip30+SEeAAUeBES9OW7iR36XqWDMFILnz1fIFB3ikvHLoebgrbXuiUCwcSpVw47YAAWsYuN+1Gn
IFqYIXnVshrozk8rxyWGkAl57twomgtOZemLZJe3zvJS6ApQlsicu9KfVea/ZDB7VgqoxzQEPkt3
MPqt1fKFYIQHj/OEZ03TKPQ5M5kpOP9yzdLHasXKMyxy2jUay+LtvIiaGIx5G20dtV8gTQ/pR8Mr
u2vP6RyoTbZGD4ru1h2iwEvP6Go66Aqf5lWpRIO6jjo5mYnCSjT7WNcElV+ip08Zbbo7qAq5oFgR
KCtGkuHynWqUvbNS3DpM943WptOhcBJzfLVHN3r1sJBv8SGG+AzjCmONh1umUzrKPwWZeeYm3WNs
aHV7bhSyqJkb/FPLaF9rmV9qw+TKtaF1/ZJ0Lz9TtX4vEmOuTOdatRzy/uQS9K2g0Y3fUIfRN5G9
aFo1NHa+LVxE0OueY7JL/fGqbwsXVZBnANJDPPb3iXxSs/q+nrG4PMBWeI3yh3L6/X7ZsnJVddOw
Xc5L/6FxQ8Akv98h3+lo3zcR5U/48woAcfipqos3mgwY1kVTvoN3CyOyFrueakM7d5NC3sTGykkO
sYCH795tHT9pVn7/m/zrdWQz8911AMzXKK8sulBMUrX2YnQ+//oCEsfwy99Ezv7fXSGii6ALnqaz
Pjmrwbx3OERiRPAUSr5hTXvO74anWuxEctVD+tOSVxbViGiD6rov0aMxVyRIw4oQKpGZakIevB0h
pkxe8RcfhZQz/PKdcmO9f6dGooTAzeVnYaxZbjn+fxADB2fNPI9YSQn/XiXzFwd4VcN/unbi//qj
cuQFfvzSYYJbNvUmvEn9h5ZgyYSjH1RnPqNGJXhH81pyGRFFctasMQ77HppArN0uBEPibC0x3mj5
aLPiVUi9VGXxW6brK72mnNz0kXoYvZ6mSF486oVxGEO1A/inpNr9ZBTp1sg88HUhmTxlmq5bu93X
9OzwvG60fg6YCBNqfB7sZF1EEAWovUHWbVsQfYV+hbcLluNjhw4i6u6QzZ0MyPotuS4DLW59xI1v
kTK8cHRM6yADZV/TCbE5Ty6Uqcms+QI/taMW67Hezc1jl+Jlh4jdjOVR681rYsjSqdgOGEvuCwtG
oLEY68q76007IFEN5TeHTyuJTCxB5EKrLmfjKsufGGCsioJmv2eFnUyN+AtX0pvP5M9vCMn89w++
+cPjMib09fupW87q1tiF++Wi/2BscS6fyba+6HdovNcQ8vx5Y/gHNMabKpielH226bfq1j4lm/T0
F7fMT+6Y98vEDy4MM8+FU8hbtsr2VQbYJmgRJW5IZ/j1dX52Z76/zg8LnpsUSx7HXEch5exu+tzI
vBifdiv1yK+vpH3fF/+6Ir1/CH4sCXliWsNL9HNs+OkVLnoxoYAlFYiywo/OHId+fcGfrYDMSalD
CWfkhPrDV1rQKnec3NDPI2K7cvk0KFe/vsDPFsD3F/jhs1NLWY1Fun7uhkC21kfF76a/ykv4q4v8
sMp6k2cvQLD1szccl+bQ23e6/fHXv8fPtqT3v8cPy+PMXs3YztLPMNmQUdL+tm+89NJD3Pd2of/0
ue6UvLRVV33p/0v+5Jeqntskivv//v6PDGV+v3Dw3D9/9wdibCBEXIvXdr557UTOS7/uz/Jf/m//
8nep+x3RNP///z1/htgWJF3fJi8928uPMniDMubXB7vTM1KLn7/w25lO6ueBacM1IKaNbs/70gjv
jk5n2SJNFB/Y+zOd8xvnNl2murG7MN9/d6ZzZD3FbmP9h0ojTyfZztIlqBim0PebaCdG0RT2PJ7V
6qoltmdOneDdh3L1dbV9XxrxTn/YJTmTwnCy+A2JATB/uA/pTWeGcIQ4d2Z6SJwHRT17MBHMnRZe
jcMlkrhfX492119cUb6jdyWMZF8knNwExmNSMglmQ9s2v8HSKslNG9vKPQw9ml9bUtU6e2OnDIua
cAqtdV/0zjqVFDZgb/reNmC4zHTTA60DJ2i48YVVMS9z9cyvW/XzoGRfvEl5lDTwCh40gXomUU9R
O/vlzMDA0GN33eYwmYsoiQC+2NuOwKeNZTkGY/mk2obzVPrJREaX09Loxg6E415P8L9AUxXJjTsM
pFob1cpJhgulCfmWUjgZocvZGLWXOaOntMfrECH/ityxXVVpV0NM5eAioFdFssrS6Fh52koYyn3L
JAP44cdhMYCQxrsB9fNaAwqa9AyAavcQJ9a0iu1qBPTQdngn5lMlnOXW6Tl0c87mlHlbMRTY2dQ3
KXiPXQMzqb9e3goeUbQEZOfs472qyYDQhVNy1y9QKIzmE8C3CxvjFsiXi9pJ9lOGicsLobhkl/Ni
f9BylP7yBAfVgVh4QrVIy/2cM8daj5Z5mmrzEIL4HbL6og9HYnvmPXzjK3Vp/DJsONzOF+M8XQi3
BeC3FKofWeOxG9QPDbYN06zk5G65B5kdrcJiJtVPlFdl1iNZx4u0ZAeVuN3VVNuwdXqmhc1EZjSq
FiLUMUx2qXPf9MgZUkWNNnpRo/wUY0+bXmf0i2rzIgdsu+mIhM6Lz54yns3YvekEyjENOx1AmHaj
wc4I8+RKlMrtOJTkTvG1wLldu4kHOaP/7MTYtDQ7vdbhe3iiEKt40uDyyCpqvu5FxbGXut8eze3Y
DhsVb1Vvg0DR1KCqqtulNK+KsIFtPTGu6PNsuJnm+IYe7b5FdQoa8NHMSn9yrBYWCDnvadJ+KY2B
u8ljBgHJYKFCxKEORWR4VcfoWELNaUwNRoPjQVqSSa5GsgYbjIIuuiI09WRaKaLzAqGntc6d0hdT
eOw60geRHHZLLyE4lxh3An1U9qphX89u1MP6Io7PMMNN4xkPZttBN8E03mSkohJZNe8ywOb7Ni8B
ScASMmblkHXLHR0Gshzz/jJpq9t0YJqagsQSIXWGcPVnT6TPqeOeqiYnYjbFGDN27cw8cSzwtw3u
7m2Z+U/vetvX6vK5eO2+3+X+L296JlvALzc9iZ3Nn9vnf9325Ev/2PYI12bfo/FoYSNFAf2uI6Dz
V4jI0Kuh3tDf28YQwbnE0rDjfdWBUBd96wjAneW51yFKcJ9Q2PytEQdohe82CbYjV6UnoaIMsUDc
4r7+fpNwtEjL89aqyJFCsIWkSUrLiV6a0C+s9CnS9iNQ0Nwg/68oaUSSSPxUeM6hGEh58fptlTM/
pbeVWsp5URiSmqR05wT0XpDsVp15tB5m1Xx0vVoN3G6eV67Sr4c5u/vKzOkXCGMRR4Aqda6nCN0n
iW0yihMOCxgR1yKHWCOQGL/REHgyozgmz9PPLBalUu2he5Evt6QtbOsIIgpQwiWsiF6TucdCJiAr
RCFPM86ceWZUazMtDWLJ0B8G9X6QEcrpvB51MpV7z8x8+y1nubVeIOXFfi0zmBuZxsxsFOPOW0Jz
mb54ieeuZ5neLODtYmiK96w54T6XGc/k1KyrEiObSvTm0bKU8QKmn7cKCcH2zTa9x0uKRDCHA8sW
dq4YycrY6NW4mJveFndt0jDAzpp74g7ONXTclWHAZJvQyhtNKFbk0omgVPLaH02VqD6iXVdZI051
nWKsm6t8swzKFk/wAcABwPmBale2AUYOoMuo7RwDo9OcJZ8HzThF5XK56ORDwmkxmIu2j3mv+KGo
pK+nvhCxi+dLRVAYwflXFoyqlcwT76rUQGabGkGu2/u0t6+zcI5XBtDrQF+idWMW7mZUqpdGB92j
qx3CaNQhjbKFVoyfKjlTlhwNY4F4anbHZuCeCUV31SQ2wbEAgHx1IOfc9AjYLQl9SMW2aYyTY8Wc
Sb1K8UHXVhh+yyCrlW2bKhy4qu60YNJeWfDJWQjtG93WT16dS5TZMPlmQcaqDqBsZVQL+jqz52SW
qTATxpB0zY5mLKiJIS1PkRl+nBsSKXPFJeTXsAOrVx/MBhe3QdikBsljbno7cJPoGpHFhTYVwRJN
l03nfW6J4CLsreMz7Ox91CTaarGti15056TqGuW6qpx8eZ2nnPzMosDMXD8gY2mQBWHDwnZ1KkVW
H9Lee6oy9QaGIyTbGQs20sEl2lCPBXU3Hrxe2bSqfqzy+DKpqsOUdpeEKl4NJdQyPIeC/ViMezu0
viy2IqjERsPcJiJ08KuXw3Kr28spaqhstJzQ3khWO6Nhc11zW+ftdpT1EIp8tCLGVWs9dbJeKoR3
X7JT47c8tjpBCqS37kdKrKhersSi78IhIdLIEtcsdquWokzHcIW5ADljSMFmQCpk3FOtMrc/VpR0
jub44RzdLjViVFtWfbGs//QWB5ZZAPv3Io0CSNaJBgUjskhCCGQNqctqspJ1pSK4cwB1MvWQVWdB
+Qn7/tExyy8VZWkh61NkqQ8LpnxLwzA6yRrWktWsKmHDgJg/uRI/jFP2BPCIZUJVrwqJKMZkoJ0R
JLwaODthD4+vQgKNC3u6QYVV7w1YxxrM48ZUH+fEObmwkD0JRSafGXenCSh5IpCklOjkDIZy7c7b
AaayWrdXHoxl1U43iyxjLOjLqcQwk0ywI8PDOzgQml0RBlx58A3PvNNUIM6xxDkvDWDnWiKeG0U/
TRL67EB/piDdERSQ+KUEQzvgjnSJik4kNNqCHs3vmmDCAzzqwUONJWK6l7BpmC5rBilfIu8lwfrQ
waTOJJxa5xGE6ZRTPblXRa9vVAmyDiXSupZw60Firsch3cYN4OtEIrBnWNgJP86VcGxLpm1Cy45T
PPO2BGibEqXNFwpUW59uppIkyKKOA5jZWgBKcQf5CRS320b7CcpnqDDOwMyCCJFZkPNR7ZYEQCwo
qQmqd0S2qBI3tzq4b/oHrR/FtsD/AwvcAwqe6bhClY7Ua8thctQ0p0gSxHW9vhUgxZnep75iNFuB
D9TK6stR0sdrMORRP92oc7WGTztvGP8dK4Dliga5PF5msRmBmWeemFYk2l8XsZOul5xR8T/11NuM
RbrjflFPEXZU/KyU4lV/lFJw+lG80cx0pZD/h+GKhS7fRabxTUjybbiCA99CX4I/QJM1jnwb30op
FyGJQdeBmQjyQLAwf2cqbL5J///ssr61AImeN3XmHy6Of/2HriZ7S15nMHHPugF7d2O5bG+oSsRL
m4r1YGbTSpW+Utr1JWdG7yHsgauF0n3KMfhTX+S3jvSlUjMGou9xqmJZFYq677CwZtLL2kpXa9IM
QSitrqTBfhyl+RXLWHcsmmbfDFjbl+Rs9Moe2N+pQ/WvSQMthwO2GAJDVk7n7kpctsuoBA760X60
K7/Ch5tJQy6bwQ19+ydPWnWtrLyeM0WDw6PcKdLOG0pjb4PDNwrtY54+5lh/R+kBTq30ppOuYCgE
mGetYyH9wvBqt7N0EKu1eY6lp1jFXLzQcBhKcXS78HPtjceEjp8u3cim9CVHZXgapVM50pUnphpr
TpLaM/B/ojuwNS9d+5Bgc45INJaeiMZnBbufsEIL6YmuMEdnmXuapVta43cIsU8nS/3cST/1EGbJ
epQe61i6rUts16H0X7ducT9jyKYJ9LGQDu0Mq/bkNtv+zbtdFDKkSNu42Lqb0DpnOtWkheFbSOf3
vHgPqe1tBJbwcYi3qvSId5jFS+kaH7CPu9jIR+knHzGWJzHJ3IP0mjde9tBI93mW9Y8WdvRRamF6
aVDHqA4vPLogN4k+pRkHJWb2sRPkFmFv70JaEB2Gdx3juyod8K40kY62qNfM0j+XkXMbhfMWQe60
Zis7zJX+1vZ4RWd0XOySPk//gf+3KyuWRXNw2Uz1pFvFaU8UZppfeFNxZ19UWobWCd6lzfMUoL+N
A0d0Xwqt2aVOC1sXqymDmgjQXnbSRLOuK4FbL8NZNSjdrTa0WxRET+assZEz5sbef6R94Pl9VaF7
KAtmYvG8aTqoT/2S+wuT+Dl20BWhiPSzpT3VHhzrtAiB38zGVo+qY2aZm9yjO5B57bWZjYc07lM/
bufLFkwLjYBjD1aWAXrizC8iqtoPcdlLXYBX4GBES3qjS51ttHLbQrlWa6+5QZMIO0ebEhAV6iZT
YqTgeviFWJ7X0CI6M67ANqrEETvl9NDZ7ac+Ewiiq+raiQByxtm1xvbhAmH1DdsL6gmBguEMAUaU
duNa/aVm5Ca/XL1uHEch2iiFuj0RDE46DLZAZ/FTCOJ+nRRBX00bw56fJ1sPmmn66IawY735ni86
Xrmpsp8T5aJs4m2cKfuS4hjcnB+lIIvJokqLeZO5yIwnWmKzuRwMGKFa0waxNUeBXkyboXAxuyTp
BTgb9v9MX3mTsx3pNhV1wRfy0Esk+yQkrdUfoDEzWYxWWekEc9EFceI9FinByV0bXwzIX6hFEo/k
Z1sQnsUG3qiXyNBfOroyKoTjeXKQnZpeYNTzyRTpHpkXYy4dQbE+jny3Fn065qdd+wJp+UwaRNCl
5p2aRHjtZyx7mYOr1CrXZgZBQcXU2KDF3miZemuJ8LWxia32hmLfo9DwO2fYaZEz+UpDq80orkKV
gjomhy1NgOMCP/JjU5xGpzxOIFBBAmFWiNwnkKQrWkc7AbSkndUtDmAcmsMHVa/3MsEc7ZqzztKc
9W8qlVVtVzeGID8sWVo41RGC+XSHnByWwHAZ2stdg8i50fvrUBeHthkwzdL/mbw5WBZ9Y9vt2oAo
jkB+CEhrW1iFjY1n9Ue1XDYupErfI36hqdVPedjpq14XH43Ezf1Rt4y95kRXWknQcxRda4t74bnz
4C8Qfzf2Mh5UO/PRk0N8ryOUdkri7Y3IEkjLpysjV0hGm6+Id/6CYHlTFnXQ2f26a11lA0aoBL/R
n+e+vuod935KROwXloXNu7A8rGl6/pjh+AiieviSduIIFPYhFyXHvuoi9uiwiTa5of4PdNpoVjTT
kdTqy3iaNk263GeavqDtyx5YgdddaV23SgjbRPWeFLv9MDXTkbF4vepE4ZCx4fq9Fh91+LjxZJ3J
MT+avTyQmvM+bMjWkEZ2oOMonLMH1NojMRxKqW2UhfB2d3LXuZrsdUuCSsZiCaYq/mwOhgjmoZqC
rtWevWU5a21hrCkXoiDStc1Eu2EVGs0Xpx8yxEbZqU8AVgja0QGpMB+qVL+qCv2GjuEIrNUESNi9
WKi+6ARTqM/nzgY4pbN+tQ4a0NIq76dZeain6i5PKH7H0gjqnHOgy3BhyIBkmYtLi7Lm7CxScd32
hFxZJMLsTEm/tmkTTITtwV39Cnb6t9IM/ftBmBwCI4plumEDQDAYcvwwMUSPpZkzGqKzdlusHq3N
cNX4nGd87/nupjsBZF1Xfr9LLqztGMS7ahMfrGiXnuLtPwXu1wKXD/QXBW4C93muxE+6hbzujxIX
ixdkUpyqEhtFpfuuW2iQ20mjTmp30DzLKKrfS1yTyRpuVIska4xK8CBpP/5e4mIMgwZF+itBzars
Pzp/p8TVHFnC/lniyuEVhTLVLaJH9NoWFfN3IyWNJo3IWru6mlrV2ZQDW5iJ22S1mOMuZnCzGmaY
AUId1TO/hHpU80IrIYc7GTkKavWYFGF3IomLM5RhNLepsM2dNYnucszC+nPdh8XWySEpxLlDZcRp
MfFrhgjkWmnKdNW1RX9u0tR8UlS732ghWnAffwD88DIsL7Oo9nBsxTe0V1g8NE056FE8bhcIfve9
O1tP+eC0t6ym4tR3sbPPRImMzhFKttGsuXowhMqEwuj018oS+aOl5uUusjovKOuwex5Qqa9j1YU1
0Hrj1klRaIt4qK9HYMS5IGyCBkUdDKNmDudYYTl/gbAfm0cN6Ow8bfoqE1tt6YXyakZeGl+CV6eS
aMKubM9OXIOUi7Qpvo1Tj2ndKDoMYT0tgPHSxcRE0EZkkmmF7WZ0HeQMQ00Jb4FtTo62UpJwAfJv
/kSAQlNghPBgVYXTkz3mxjMaVKtaKROVHwdl6zALe77tx2p5lj1heq8gijEiYYdIItxOYT1En7iT
Ep9taXkOu3h5tZPpsVWaTRklB8WhD1Fo9uCPVlvvlHqMWN00MW+z2VWOiIHmi6yaatpmHmeeqaiU
HG18lGy6oqcEoNsHPCtrPphOQuqXp90bWRPvaoV4y1gdh5UFAgvTW2ffunHNBq8AVKnVxr6cqDGC
Qq88lQaFRdB9pzJyGHLvk+KMysHI0U7WU3FGx60EbT9M20EhYmw95k3TByRY1MigKjgadVhi0nNB
3KuL/TGCDhAsnpPeT2FGdZSa6alTkLdqBNL640K+QJcRtriISTly83LIcpDtM90MH8GWjvdl2oLx
ryamleC4r+IB6kCJUjkPStMculXXYVkekJey505WFzAWhW8WlZaNJF1/9Wy6crlxcKbRuAarT5Wm
Vrb2Wlf1smnkjMgjmmXVj+7vEdH/DG9MNr9frMVV/vyzbGX5qncrMYushgnXVimvJJT2DyWn/hva
SUKZmNBgmpZ/9WezQf5TqQmHIwvxm2nKu2aDAUcUIacJv1SGPH3TbfwuHviVD1dz5Vzmu5XYcaRf
G7GEzjKMovv7ldh0i7Q1hT6f3T5qr5hiFDeJVjuPVW7qh3nMsqdZIzDURZl3ol0Z0rIb4kCzhuXB
8cb+NlarfLssxMlA5AzXjtK36zJp4jVwkctc0rYGQwsvLIuDFoBKXj+g6giQjHImqQhUU1zvMOkL
JNM+7ndabWQvSaiW27QE5EUGL3L0ups+FnEcHRiVk+qj9GmglyokAnIOycyZHzydABa5QoWFcxA8
kSySyngsSe1dt9U4AYLxQkQ76hntREXSYEaJZjc4HhNrB61Y2g6NHupbuvQ6J6QU3L82migwi6BZ
lugLvcyneIpCpkKDn8jOOhw9IgTKbK8v3uj3uJ2vIi16VLMZOIjRbsy6vLaqRl2DAlS2vR0thyUS
xgGujrPOmehoStPt0Ql4AcxOc5vlpbkeYCvtbG1wVwk4vENTEGMcVsP10lKy1jknFUh3C345yJ6Z
W630yLtMDZbeYebTUQR7VkI3A/6ZhnQWa24wO2O9b+LuIPT0I96jaVWAM5BqhnStASiMo2bpZcZz
vFZG+IW5JBmGIA1TU0GTCONwAnZYvFEPJf8QDnV6mkAiKhlsxEaNKrBz8BLHkmEaAEXboKXpkDud
TdNWB7Gop2PvkUQDd5EcyjNwv6sKIKMadYB4QDTWTLgmyWwkAmEdSoqjLXmOuSQ7dp1FunFZHDug
j5YF/bGzx9uBaEoCLKmyofLQqy/UMyfoXQk8cgAimU7eqQYqGUu65CI5k3ZoX80hXXIAlMWS9Csb
JKVH/hZsQSCVcx3UQCuZrrL/g7G0Q5oMC2DLQm8/GSOkSw/kJQioLdyde9ot8F/DGlGo5GOSHA7I
rcnoqfugx8SLKbt11GU07sJquvBG9vy1g7v2QqMvQ3ztnFeH2iO5zMEhehGRk7H/pzD+Whizdv1i
MaaX+dr+pCzmVe8WY5Oylr7pmxtIirX/WIwJyKMV64F3oWxGfP/nYuwR6yprXwT3v2vn3y3GrMBS
r4wSX8rx/1bnlwbvvy7GJkhx+szI0Thj8f7eK60GvdT7RvHmM8V7t1GVvFx3jBky0qncsDm6ajoB
Nx0sQlSssKxP4yhu1cLaWm6GPKRd8A7GqnUxlVOzwu7DXBkAFAW96uez0W10rQf5WY3VboKuda2b
jKVts1eOxRxZWHGrR29BnKJY6kvJOAqlzXJdJAhrw7HKA6UeiB2NnPPi5oNfVrA8o9rJ/KQaUdm4
PPOCuE0MsPp1Zij5figQyRRowNQ2tnaKMwGIMcJuj/u+dOGZlJaf1NmNqbmvY9bcVpTrdTESV6va
yj6dlOkQeSTALb1Xn1VBc1eXRFB+SkifEGngGJi6CDo5AgpH74SkfNUY5JRN0XCtZstDIep7L22O
YCM+os7ZpnXBm11G3S/d9MK05AGDZutSu58XLyf4bc4a39UHgqAAqaL/anxFAGyMbazteviSUdFT
U1Y81x37XHNCxvCYJiTfOuR4y3w2oqqt+dOS6Jca6fbr0a1vEshuvsrA173qDFeZt7jH6b3EXC+k
RvUbxFWu1q7butrqkF9VTgS62h+FbFG1y+vick6wnIHsEqv1ndZxqQIZkZeiqxlu4rlsXUTkXkQX
b9TND+SinYQCpqIx6/Uw6VbQza+hY6+ZWkmuYCSR2l+EE5EJn1ll0JsLKcFqnzN3RNjezjZk6Ubd
IQK4jtvl2W1AcGg9KU9xXtl+a3a49u1qP+j9Q5pW10ItMJ3Z7FMye35pcGpAzoyNcis0GyNa9KEv
a2/VF90xavs8GBSARa7N7ep2iAWTLEI6MRM57+QljYOiY12NaNQmjfeAeekKolAD/dY+hqPbMi8n
xKa3kmfqAonkrJ6dyWjRExM+1Snhsgt7WsLwRLJ1HRGXUegQb1VtqYPJRMaPP/vWCR3uKeaZO70o
Tj1rtC/KDFkFWWzMROAwUHIdaQld21pMLroRrsqpcNcWoYaFre+w+cKmi7zzVHYd26WO0D/WiB6j
vLZrDd3AGOIHz6dzhVe3ragqqKJeaNF8SAsDgMN4lZoC72tUvLJIXbY6fcp2dC+H0VLXmBuQK3bl
cOHN3ZVRG5/JqKSrVcc7g1PZmHqXk17eEoWU0ltbnnJQgli3rIgOcZpu6ogdpg/tp65qEL3hMabR
+pouQ7Ob9XC7CI4LaMNsaLKy6xklt1UcIQyJknwNQflDOVYf8OCCbRrM51ZNP5Y2rXiyBqEpVGAI
mAOfROU+pK1C2ttwcL1CJbLZWttxfQhBYfgoPshb1rQVh8+nvpk53lYXVVvkq9EhyTyOnMd+od7K
IsPbDTW22q7AyjLCkV0hfDDPela5StBYS/LVifPPGcViF/n32+Lda/z8s4GofNW7bZHDhA4K7Q9L
2R/bogGtnJOLzBLX2evQBn/rFsEKIrYcOAjHB0gRxp/dIsP7jXM9tlq6SfKI8vfs85bGaPX7Mwpq
b/xAXAttNbrvH7pFZU4jiaA39zwANe2C1DDuI0vdpWWpQPaLUNyagMKUYUZZIPbTOGskmev2Whu8
Q29ltl+TdbSJ0vnOVSrm9Sm3Y6klUEztYp2K+iXSJ25ZWiqwPgnjFEpgKOKhc3F8z0U6bu3WDgk6
ntEoTQ4x1zpxtM7QntjIBeBqPd5Mjvaph82jhqLfwfvmuU5lQKhk2CSTuJm16dohhva6IWEBFdSI
bScvBTND6Ic5sa+rSHjMWzwWSzwZa3fKNmkklJ2WQjpNJZPFFclnrdQn9rwBIVZfpgMNbCYr6GbC
VW9kzFjCUjuHOujySZT8v9grd46Wa6uayy+SCNJireUqCUAwyQvBiE95C0IkByWSghSZQIv0LXsa
he1zL6kjtuSPVP1grYYwvSH/1c/s6jgosGFb20h9NsB5u8QwyFqQJq5gmte+UU5c5b4Ge+KBP6lp
d+2tZrlqR/LGGG99QAH1UoFMgSoqwyDjA76wK2zHd9EAXWWkDBjArbRgV1TwKxbxCqDfILJA1nGQ
FlWP6ZgfbKAtk6S3zGBcJslzET1ccQAvVum91pL4okGLBawCBaa0+VhAkyDckpiYBPreKpPoGB2G
jAtLBhFXAWGByQvcg2nNuXRk7Al8Zum6D/bQPbn2BKJdr9ZZlGBvjhKUfbBrKgmxKVRURJNrR0EH
4YbIMJ+ssMHwk4HIDXzPqIxRXhMbJq7qjuhS1RlxnS2cF+r+kRPN5yIqzU1oaJ9rekeEzsf9oQx1
RlsuwvbSGTb2ZITQa8nazLhdt4L0LDJzTbQsiUZ6XG0aewUw3zbiRO8bbsWDULlf5hSxc9Z9MqTY
1wtHZ62lXRYIGy5VWdu827nwefZrvy6zfJNA0bFjgnVpTUKdT3hGQpChDCziJQi1xqc3RuriPGwj
QoCD2J3OxhDudKu8YrB1tjN3rzBJEvoeUVo4njx+Zmf2tzXaet+eHfZz+4PjFeesbNgSjHQO/oe9
89ptJVnS9as05r6E8uZiBhhaUYbyvcxNgXLlva+nP1/KdMtwrdk9FDA8wOa+aOwlKVlMZkZGRvzG
DftlpIDUK4KHKq2/W7EP/Lrn3MzC3JlXllNOM8jbkzrEQD7KT1UV2RgpucEXdRUV3klN1/FQUfGS
UulNxdjANgiPWp3Dau/7syRWxyMMWX/4VbA2TMqjptxZq7CwTlQnWQc1vneSBlywwtA5i6KRdAYQ
lQfHHc8+JVg1YXCiNsEJOKMfsUJmbdNCn5iKi/6u8a0pqzM1iXR6qZkz61GEmeJ3aczKFFFZjjsg
mk299HSa/3CUaCxSYOlM99vo8nxF3lSTMUAup+bv6B/35CjxLA+jlTuWD0Wq6XNaQgI8quJpDVEd
y8AISxfajm3tf1Nd7aLuaENrQTNQGaz0WdRiZR0V8qOB56seBCeBj4ZuH4NEi3EPRefpx2hq167L
9166mTVFXk2C1KBc4qRDpRIqoqelF6qEoA3twUfTaXAnpSxcpLY7R7fnogQW6KbqdetXp3Ir4acJ
0SEAfjJxreQixliwtwLpyO/im8Co05lc90fmYM9xEB0m4IKNKX5T8dRM0WeMdVQnR9k/HdNOmiDh
3s8won30RvcaPQNQdIrwSgn8fNn74X2ZU47PaATIdjfOhMDcNKWXgV6SNB7Wdr6wOktwLMeLAazr
XGprkKyOd9UDsm9U6dBx82PHSVqKM+URJCHSaMX3pkWRDOD1zQbFazgHkBm+o90mKKQb8s2A8oSP
eCvcGpKhG9VoT0YL5gDV7rne6osy9OZtZh8HeXkYVm59iJcaWPnRDNBalpeDpdyhDnxqeMTs3tHm
ZujPC6V8oF93WvfFZuy9uRWwO6sBSqGm/MgwGnAjG+VoEKVuRGpcA4f2kKFrWQQy8UjjpKDmbc+A
1mDBOljXMFtOR914iGoCZaCZ2byNrUM2dz+px+BU0TpkOivnrMQvcqnqHY1XmJJ2DLnG6vD3blVp
wka7gGZAsxl1MgSLvQ1nZznPAr9BNg04mwwI6cy2QbPSCFCXZVV+DyLlykAWbEo57Aab1h+IIbmT
krhAOY+lEVu5QgRRFqNq32qu3S9LpwSbkN2WYYGOjJ3dVy48WSfEbhwlunGN9bCBtUhxzpkHgoef
dbl/XOMdOUEvm9aulM2dpLl3RZVItop7zce2LHQqsH4uaARMeZTcbNCRHvyFkzntzKNchUR0g4xo
TQRzbWPtWzK7LA9SUKXZImu8wwHqMEYNtxo2QFAU06shG/1lIIU/Iyu/M8ibNT9JlpCgl+QRfAdu
e6UYuQKCGEjHKFkrBH85ilPA33hNWuDJUbwwJaU6A20+84bkMZKjbIpjwFlvQQupJO9E1gLapnX+
aEupB+Ld+dHBSJ9LRQI2MTVxfjIM+vTSd7lo3IsSo2iieeW4pzoAIT/QDWkaA61eyXXkFOssjjNA
J2UgC7Fw4F0jhsFO4T+TgP+dRxsksL/Jo8sA6aThc31J/NlfiTQVfcpBOOnJCBdwFXxTX9IOABX+
XXd6zaKVA+h8jgWoEGUoUi4S7NdKv3PAvyODQFUKdgVgwH9S6SeP+5RFE/KBJ6oO/+FRBM3vDY0P
y/DeLHD3OU+VXNdPK7UhIg1NQAFpgvqj6kz6nuK82LN39NZ+jmIHgHK50sWe0KzbocXbJmezlDAZ
CrF7apuaaaNba1nsLEnsMUr67Dax74Bw+AtV7EU/99aS2J1t69fT0M3OqqG+l8QONpzuXhd72qeA
2ohdntnBcS/2Pf56pxKBoJQzY5aJ2ODXZjtDSzBG+6+8lzIgduScwr98MSYRevkEGYlg43e1MgHR
eGhZ9ToFzQ82TuiGFt0PvF9u4nqIpyGRSzPq7x6oz6UjghqGqOaZR+99DrulRr2f4KcQBS0RDisR
GG0iJHJxZ5lO8uKP6hWsvGKCXvJFr8pHiWw86HWy1MpuU+nBsa4OmBdRqushsZVOzW87h4lcfm8o
e2c9VLA08r5nlfndCakzg+jWtbvKce5KtTorx+CbkfV3EQ2aGWDVEQqLeY45D4h4oztM/ABRxho6
+ijh6wAN4wqVvDWCW+sRdodwsMWXUEWIz8BgfRUqNIENRRi3yPq5ZHTxMXUdNAQkn/5hrxyHvukt
Ufc0F4UXn/pFI8/tqr8xK1rfHXBCRNCP7KwNUchKzvJBh+MfFRD/81RdDnWHb1mYzUqB+MmRHl5G
ll/iek6px2zdfm40KsVEQtXUGtTD0uv+dG0L8Znm3JQbmLJpN4WmWCxLPUXKS7WRb6evQgcED4zO
m2CKQ0VCLleJRA2sVCVMnqkkTrusPUbZae3zVfCb5W0olZdma5yDJV15ISguUw2XeoiIQq0fOkqf
4m1h3tQoKMqJ92eV1Q/cfCUggiq+CEAIwHg7/sJuxu9piFG9p1LUsPJvUoN6aFx1NxKxesqfongU
S8Vca6OrQVKHuaaa8IaU7DEhL6Uemp8CkDmL9MGb1ENPQynrTpq+7ea9DZ/T6pAyksLSnoVZoD4b
Z9QNRBmt7De1m4czhBIB7ZfY62lR+K2JZlYc3Gg1mms2iNo5e21GP5icpLbqZVrRz0HeNT/sFdXF
4RQn+7w71THFmSUh0omjJF2gqOHPh7QYZ5ZKzptSGsaVwETumvJZ740AWLNNhPK4WGtXunaEdXsk
Y1YneeVlZlVzbejDGZnk3NazP6mGP8qKDDrK0h/LUf7hVM6J3MXrfBighKBbB03Rn5sD3PghKS79
ptrEOpIiwbBCbelIxzF8WkLHAoYP5QIhf6qYw6NalT89qTnusvoizqXTug0jXKLq2Rj1p5oD+UaR
0UQ10k5FIxIiaeP47bSs68dcSrhF9506i3trExTlT7DaFMYyKcKxipQdRSzzqG4GGkeGZMMrg0nG
2YiuFmlQG5t3NZrIUEXVYEZAPsamu4ey0zQLf2yPaldrp2rpXZp+vwEHCARVjyBZFRVeRh4Mh0ov
Ds0EaifgZLz4+qvaQFeW7uA87v0OS7RAnaepUbLpMraEbZ7GJdjprHc5tDGj1xu3x8/Fu0LC9yzL
nSvH1Q+1fkCkOHWoUg/xpZvnaw8xmYVX2/H3ssOK3e0gMMuWCrFBbGwj/IacGc2ttosWhFV9Sl3i
tk9BfDR6gGdWekRAvxz0rD0sIJfNOAAuwNyo9BqNWYsa4tIHNDltKw0zLhNUhJ0e+a6pT6MiPqn8
9iIwdDqHXBDcgEq4lZXKPPVi/rZtrwwztA/HtLmF0tWAMygRbk5VH4eRQsIBTHp0dPJ2fAqDJSiU
i3TIbk2NvV3Elk0d2yaT6UlbQLikaxlx0glSid9RGXOnAG7wYxh6E/I3spw+EkcYYKhLI0/lRUh3
dRHX2W3jALHLWUidmy4GWtkTha+ckiLV6E7TcMjo4RmDcWJO28BccT+gaK6ju+KTsWnYgzFL7Y0/
RBcdZ+K0DmmvBkYVTgzL8KYINrLcbIubc8i/0QChWSGNHSKk4SnSLRktEqvDorPrJlJk3uBwuSzT
4d7IjPPQyx96yDEUXcPv4m6JUKHE0mvSE0Uzi7VloB4ooEyWlR7KirKq47yc6oPazCOBdYJ/G6+q
sbjRVDY+sqTfpEE/Q9vhviviheOGNxz28nFgVlwxbWdVBd4ZyNxrZ4wONYmiq4VY6SSmMguctzt0
DQ3PyaGaZAJ1BTS+namWdRf0mTRLSqR0CgEXGTL7UnGTYm5wm4VF36fzPEfzrY0bdyWXw8aUWAy1
36oLgPLXfcpF13alo8DzNiWaBx4AaFjD+TIrwDqmVn6eRbCLgdx4uIgZd3kIBKmpgx+6TGkrLMxz
Wjx/Zgj7u7lwvfG0x1CmWqG1gCFVtQRP0Kf+wrRiAbSlIyZnA8svpOCuBAMWKqPyw6zaNeTLYA57
npq6RNT2B1ohoTV0pOLhRk7V04ir1rQO3JDMPT8OBMRGr8vlMOrNtNFEBVuODkMYPNPA1jjvai6g
hYqhSibAOaZj32Oj1iNV7pULmI/yNEvadpbJA7WDUURV8xvwaGXiecjPJYV07ZfdDcUULjuBM826
+KSpFNL7hjaCR5l+pur+VW1axRyPxFXjISmdyM6NnjbnXtw5U9hulKFyCZ1qk/2kQdjoPSmeQUFc
SWROQoVPBtlb3eZect6rnOfMFkcIPHIKHVSMgocOdpiUm4+mDAFDszkEEghhkRNhVwDRTI3Vu3Yo
jx1O8slgGXdoXC5R3StnqadgMqjhyDO2+rQ3o29eklTToi/Vqd2Y01BK4HDcyjZ3GSdBvFiXsonS
hEe5USrILYS4AAQZkNuSn9nRDw+hv0nShdcKl5kJahKXVuKguZ1kK93pvvXkXJSfRjSv8iydF7Xm
TeEBQhmMCj6OXgTUXkq0jjId7xqqdvYgSBYFHbauewTdQl0NJsvci7SF3Dbf85at65fKReylNKUG
7VQzA8pxRlhOmii/MgO+I4POLullT5wu09NeL9NFaWKbY9d3QOGhoQSInPW0UpJGvhlxXuyH+FrV
pWTWVYRUS75t25HFD0B34tRWN8vi5iSvykUq4zQhD1VNOJSxoTPDB4fc2G9NzDT79GFMyqPRodrp
leNKVdPveAXPatBjeQutriLLsyJCn1+wMn0HSeoMWs2saKyl3JePpk9KZ2U9AorkfG2IHwRMmsZK
Vy7Ky36Ublw7ug3r5kzXi6MkqJWZB3bfbaFjU9ZFdsq67H1l3hvgINwiu6I8cJjr+H8btF/kEO1q
DQ1ULDwGDQNfpPARdj9Bj2LVBPk0NuRWPapCZZgWnqVGF3E6mt+HLDDtdSEB077AUTxvZ4Pg3Rm5
9Gy5/u87qLiU/foO+ieCOs02oQDxZ693UNxtTE1VgQVyVjzrA742cxQ8HJA1BX2CIKr8zvhGP8BX
VoV1pjtPJLY3zRztAMcH1aSRI2RyBEztHwDOBILhHdxMeEgoCsB2S4H1ogPOeHsJ7WXELMsybdYj
lyOBh/FoKAd2MnkzL+fPA74VyVHkTz0jhxqUrWPWQw6v0vx//0ZKjGGjiVHVWm4M5ybysb7DKi0e
xkPaTFwjtDpt9FVF9ekKbim6o6aifwtty/uRZyEKc97gHCuWQJhapdGfEzwutSFrs5k5eCjat1FY
aT/bvjDt884t2nYRKrSeWx2FdTOSYuS0YqR4gjzP1DlRv2mntuShqooPKjs9Gpy54PXJsyq9M2K9
W1t6Hp+hhJzHUyWHZbHI3F6bxi21t7jKOMSDLtPO5FYxopM2Ds/KOurg2+BI7TvnmiI/GFV+nxbe
AjDrtUXDN+20pSGZwApkPgX+E3AV3IWTzI0+WbnDUMy0KKFtXiqzeCgeffTmOTfXipo/Nlp7FdOg
nnfoDPywInC6DsT9U8nKS+jphnkUB4CsnISL0KgiGyZJ2qMeVumh7vryOq2xIkpaBGaDWDIAEQt9
PGddpbD6qQNSkQtGdVmn1s2gSN9jFeJiFvpQyOoaozCEdZAj9XDVmQOgwWFDF0NAHVYis7wp9Rrh
aNNO/cvKa6V5A4pq7vQy1tiwCJlFlV51FXF26VI5zEJjvCzw5z7yJUV59tv8NRFCFEw+rGWw9TKd
KbycgU+Kgsubgkox4BbrIY60rubJpiPjvELYZwLxBvpDeugqE2jJc4DocxCRE+NIX2hzyO3T/1H7
jKrSm+dA3FgTGE587A2hm4mP/PvnMHrUaDxs99au6h1hMdFPI69woa7oXD2tyJkXmB8uStWEa+/a
8qlnle6RwndkRkUyHaxh7bigKW11/Fn3mbOoVOo7dZ0vXHv8ifEagoMu2Zw79t+KOMdmoSyGqVWh
2kCFWgUlxJXA8Pv5oDnLToGTim1TgcY48DrncNToN6rqUkfxcYKWsZCbhc+YpIdkgLNM0+nzyPm8
67wT1QVaF6UQuVsIV0kSIqbRFuuOqvmy8ARjTPNuPNBLipacNr2NeaydL+WIhWY5BemkHF79Poy8
DyLMLDxcExVS4qWpmZrzIYg4IwD4PHHLtdwiGUkgQNmkxGkeK5o55o6YahTe5vdv+cTu/XtVfX7P
D9+m1MMtaBFMXxeehmET13P4hxBWrUM9aVDjcbk1mwC3LISJjJjsglvZcDKWDdQ+CQ/twP4uB+QG
bSU94oiyQHryVM3MC9kd7wyv+Jl0QTErkIv+t+H7s6gvIt+/OZN/NLd8wxzMFIdX9//5H3//zeuB
jN0SQAgdQD/ycwrQwjdFYYWz2pTRW4Zz/gQffEVXAKFgvcFRF0SrDyLk9oED80px+NGTFdM/qgtr
8hbQIRBzUyeIOQacoQ8LLq7LWkYrQT6rAQDSlcRlB/zesSo1qPTYSg6MmT0HsxHsUeRWiwyphWkN
sLDMjBReGuWVAFvUk1LgD/UnJGJnLlugibHd56flKE3zFrRAbd8pbUSFKenAXCNLMZrdynHtRWCh
6YM01RKXSYAZjuhId/pNl5aHOt7V10TZZurl+R3q1Qh+5Delogvwm8ZR6xV38YBxQVZxHS267rDP
+56Cg7CElDGHVEKdgqcGfszsnHn95CDZSe5MUnCVjLGXHLCZtBrvzk3sbqEOKUrbA16UduqggJtJ
lwhXxOeOcKxMTNR3Yg1LFnewrJkbUBqh8QjvxcVoiYvDvMT+ssIG0zeKtS18MXM/+h6o2nWdOflM
wjozj0AWuKN3U7YpGLdq1ZhE1mRUDqEl3svCfzP0/cMIQ85Uhj1iqj8SjDrD0blWQkKvITw8S1W+
xghQBZigH9U+uD7MTdKpWhubocEDtLKq7/B+iJc5fMHCMGco/JzT7FMw4QwuAoeLuJR0dnc0DHI5
HdL8US5zqJ/p2h6D43bIvJUWVpeNCUG8J9OfjCW3PssETgaKgX5vjKMClBzE5ZqCL0y1qBAjAR8d
2kC95hi722eOmg/LGGG/SWuGK5TtHNQzyge1ADaKV493IYkK3hgYdw5Q7nUxqI8x+Gr6VybAcvQ+
cPv1gZ+naQn+NDI8cH9JtEjjND/youwMtCW12Ng+Qx4IaIHpEBYHKrAR+kOVkh01pbqG+IKCGupA
kzrgnFEalJYUQ1qGPbdZCgs/zdz/M4qQJCob0A6qn5KfIMSEh59Ktxy8CJz7P60A9QM3u008F1Cj
BqA2lS4UO3/UfTiqPlAMpO2mKdnJVK5LxPvjYpWbyVFfG3Pd084GJTpDO76fOkKQT87Cb3Ln3hiJ
VB3St8umvmTdlLVn8NjqiZuTT0k25WC60iEMOPkyGeojuQuWRRReBoE3N5v4RyeXtzAqMpTlsCge
KHzYZdTMkA0Sx2lKPYnJNXTpCMCLvjRlIT3lDBEXeutELpQ7znptVtXDt1xTIdsp+SKvRg2YD/5G
Q9+uIneUER2Q113c3foC2WoKjGtqBsUkA/aqAT52gMGawGFDgYu1AcjWcrewSlE0FthZAPMZlACc
hgWudhAI23Qw7oXlfVeo8BAA4RYuhYRA4HIjUoQQoK4NYBehhBsFAK8iVRc8H31boL0OEN9SYH15
4Jk3tt3MAQZsCzxwM8qXOM/+HARSGHJbjP4j6GEpGqRVJhDFKdW6FoixDmXOB3JsC+xxnlB2RCMA
RLIrsMmjQCljpjwv3QJLaYFgToAyhzK1chsQ+LRQKqgXGYjnRGCfB4GCVoFDQ0imgS0Q0iiK0bLw
+gvssZDdMOQ7W+Cpn46Xf999DbKrX999fyAAt+Wc5W/enLPkv3RQFY5Hjk44p68XXzRjwTfKhoxn
B34feLf+dc5ymAJ8xDJIHKnwUkkBX/uvNrh/TRC0bMqmqiDR/oOLL0DFd2m64E3bMGtpIpKvq2jl
fUAx1iX8zlgN+zPoqUgA2ACf3fK6VjEDC9WBLgdmZtfYKsdnap0kV1XjloeSrCBtMLqooaMXBMgb
h7RC19ZwymQsWqF4D1aIshQkylqVzWO/aG+dpsuvs4HdSeG+P3c8L5+ypayp07jZtV61p6XcWAD8
nFmL/8MZCGssxbrUu0T5ANy2oWpzr8Utq1KUG46m+DBG3gCvOGzljGalDfa1VzTlotdDBLBJ1c/i
oE+mlBt+QqelrN7Zf6ajGtwUeped+pypi3p0kH2LuKwqTMFZoGBA1Mu1c4jOgaDnq7ASn2DAAhAc
C2hwno41NVR4aMhUwg0OSQya5KQBaxiBLO4ExLgGa+wI0LEB+lhu9HlkefJcBZccgU8Gk/Mns3ma
CeCyLCDMmQAzp5H/0wDd3Jt0VkhsvnlF9A2vHlo5AgrtgomuBTgasQM6DinSYqbnHUYjN2rJBLIt
QNV9ah6ZCKqCrQHCiTtIuKgFBtt3O3z7gGXzRYcQzPKrTHLXOsBtztVDTVhW6kC6XaDdksB4RwLt
Xdb45xUAwDVYCOBKxrWR8ZXWeT8rAItHgMZVrfw2AiKX3Jzw7mP8Brwcr3r8m3JRABfYc6lTV4gS
GyBC+mqGX+YZHR0Q/4lQOUCERWDYM4FmN4C15954oQNzBwSHJaJAvqP4hmE9+KupiQmnfaYNkBZu
hQjAsLJqQKyW7x2jgTiCGlNK7PsMGmcYqz1IyK4EjWieSQMKEtzFXAc3ermNj1DxLyeWQYVTTZQT
XBtDaF30kF1Z4WZs2MFyMCJ4ggqcBmlUL0vDaKetXdIQ8yIk/3Kd7kwwzIMEDT8srBbkRyHVlZFJ
poyykoaqQJQW7ZKODT6VWamal1/GaYosY6CvetupIAgn8nXqu9XE1dFIztKeBnpIPcUxaay7FMh1
OQX/4D4M9KYDOuyryDCuy9oFGJrWU9SWpyTOa4gP8arTDUROOkgFVmyuJLvUz6yaGjRFgHqaK4GJ
DIR+1UaCP1IbJzJkvKmDEttUloyjEm73kTJkx4UeK6siC/iWaiyWte+V4p5JnbeAItwvdI76uigD
GIpJuawGQBIAKWZ2Ed/6sbGws5ytzjbJBZkPDsNPfMyPeguaXyRZ9gyJCOXM7yABuoIOCA7IO0rJ
yuleueu2oD6PmfNcxS+RDEcQeriKoxDVXwwKrSKkmaEdDqONdg1URLmodYAAmb4cPBeioqAs5kV6
7AkS4yDojJUgNhahIi11QXbMoBWZEhCvER4kyr7f6cxq52oY9FOiX7SSuClMffiTkka3TBAqTZiV
hRV6jxVcS8dnG19Y8C/HUDAxIT+DA/3/5fx8OeK3yqv/RdoVPz3P6GpfZ/OPAu3/0i+9nlHbB3q5
qf5reu3yx5vv04M9Kcb/dpx4w224uUcRXlcOMGO1LJUT+enF8Yphp/fyY0lRdbRrcRM2xZnM6f9m
jn41C7//gJ+l7D+P8+uHf5thQEn+SDj8Vz4/H/Cvj69ZByQXXD4Q3Hh6USJ89/GpyAOHoBZO0vL0
2odJ4Jt4X8+gDva/mQnGeTcVtBxs0iLt+ZN+WgmoGFvwTIQWyP/9Qvg0B6K0+vRgf3sk/Cur4f0c
OCx2BxowzP6nl/jpu90gFFhsMkTRrtjPSdh9IdCEEmYLyKx//vQgExGLMfZ2CXykWv3zJUB3ztEo
s1FSfnpRDXy3BIgIVPMt2L/Py+3/OCBu2wcEsXf3tP/NJGjiJkZ/7sOnx7Wew4LmJZxk8Xp+qz2c
g+cVulssgNKG7/2vFgJlY1RGqccK18j9jAXcsHdeCDDuVRrP4JzF61NAlA+omxMy9edUZA9Xwseq
xf9mN9BDdBw0YLaHBKoXlBXRqlUIFnu5EkQTa7eVQKKoO7KDt4H5PAmfDgf5ANEwNovy/F57uBLI
aHabBM0+sKANUGB5ngORdb07HER4dByaPk8eeXscHp8X6i7h0TywNIWOtvKSGH+cCnFO2nC0bGVf
UyXRSNttPaC6p5MoUHx8jo4yS//jejCFJDWtwz2NDMInZOdJEH1THQjSx0+vH4DK0fD1erlc7ukc
vJxdu+wGm3sk215gsJ5eH++RwhRNmFwD6trTSVB2zxpVgp8K2IY6/dPr425QjAPccQgZpJbita95
k5Ad2m1PaOYBenJPiLynT/o5MAAsMEz0HPb2Nq3snkHjYCRjtEdD5+W4/BAfQEJyeJjQ8PY1b/ok
3fGPk0eOCJa7KeN7uH0SiAxkz/gl4nC4z5viJa3bJUgaBxpiI1yonre/2P/vTktSBpFoA8HZ19NS
mDnuGBkw+tZxozDMl5Pi041KoJEwC9OEJjDvtX95tLJ7nc084DummKhTwn16fV4JJj/jar2vK0GY
kuy8EtDggZ0EvOzpxff9bjsQGQwNtKjl7O1K2P2gZMuTL1gyFaWn16ftoAKmMxQTCaN93Q67Xyv1
A84HpGRft8PHlcBBKSICzjbPZZh9TZy03dcDOSSKQgZ55IfdoGADjPwVKJCXmLGvy+F5s+5yTpoH
1NwoshManl4fz0mqDLJJwYme1J5OgpAh2zE60oUAeMvVUX+ehI+XCSaBH6KDz6VKvPZ1T6g7X7Bp
UvJdsxrslzLDx/VA3oQsqgVlR349TfcycdB2v1LYEKToz6Ae+vxJib3vz0xRphT/I8/c61XxvFx3
iRLOgSLuVSiTPH3ST9m0Ci8MagSaJfuaQ+m7rwdCpcXlSX6tSn88NUTdBV1CYIf7mj684Cp2WQnW
AShI1GzMlzLbp0mgTIlaAtnDnm+K3U8NUYcDx/k6E2Lpv4sPhEr0SbA2EYr9exkkRRV1x6OTSYDF
iYz2L+pwouRAUVrmQNnTSdB2PzQ5E6Hl0Kp5qbt8XAnkD9TlaWi9JK37d89+qYLsEhlY7bDqUV99
ySQ/JVEUGxTALNDn9nUlPB9eu0yCdeBwo9CFZvvTa8skqA61CMfZ80xy95sF1lKiO4nn1HP69PGk
4JKFMzOH5f6m07vXXTCKhTbKNLxg/rasB0rWNDHU50na15NCCDrveFJoB+gMYKj7UpD9lEOyHuAu
Q2O09nUSXoB4O8QHAYHVhODBK/CRj/ouZ+C4NKnXYrvGStnLnEF7frAdJoGGFdJ0AvD0i4osaCdd
hqFCo2JPJ0FIVey4HbhSocwB3OklZ/gYHpkEU/R59/i43D2FpmkPxJU620tF9mN4JCaoJI+E0D1d
CNruGbQFdkUIenJTeH59DglkEwQNbV8nQd89g9bh5FFf46jcPgncpZDToncJHvrpta/rYfe8yeDC
hC4iF4Zf1FqAQXKGggXd1/XwslB3OSKeypBQqV6PiE83Kq6V+DJRfdvXWuzLg+02CaIPQ7fqV7UW
5YCooXCl2lfYm75zsgCmAfQ7zRgkrJ5eW5p2dGoQRn4pZuzf3VrQiHdMFuwD/OlNCi0vk/DxnCRt
pJWFbIcA0e9l2igEkXabBFYCwkoW1+uXI2BLTBCFJo6IfxAT/oXl8hfTbuoH8f0TEQ/3iSfm2zPB
7H/8hVeW2ucB3pCrnihm735TEPOex36mYIn//1+b+yRIZ0FVl8FdrT5BNt789BXC8fROL3//8hE/
v/m7N3v9XK//eBg8lJvyDtmKJ+bhy4OuNwlMvv+O+c/9Zjs17O+n+c//eP+wb1bA70dHLvzh4+Ci
XvL6b9sZi38tr98Onmzus/J1oL9FesR1dOcnnwjbwddx3oxNzNp57Okm3rR8JdXrWG/GJxzsPj5S
lNWnr5RZJ6J8weBpXW7+mGZVve0tOL52fovZQ/zHOiu3zj9J+s7jz+M/ZlnJ4nkd6838E4l2Hn9R
4mizbXAyyp0HX8YPafo6zpsHJ4PceezDJrnN4vv6dai/hxd4752HXyX5Qxls4teh3gz/FVt2hbr0
lqG/YsceP5Rb5lxgG3eelOMg9bYEAoGW23nsk020JYYJZsUXDF1VD9vm5Cs26ElW/fHfqfcQP2yb
ma/YoqebewLw6zy8WYhfsUVPN5iKbBn7K7aoGDvPtkV3gRjZ+Ws9fUjvs7tgW/QSfMUvGL+8e7h/
HejveRft7N0Hz3j213HejP0V2/Q02zonX7FLGRqH44dhy5N/xU5db/ItC11csXae8PVDu/mcO2Jv
/xVb9KzcEAJen/LN1/kVW/Q83tw9bMkdRSFm52k5j5tkW3In2tM7D34ZkDpWwf2WmRGdnZ3Hv9rc
lVwJ0nrLWSqQWF/wBukfkwdMl7a9wVds1auNeIMy3ZT3WwOZ9hWbVrzJLHjwtn2Ir9i1YvwFO+Au
qO62vcdXbF/xHkfZpmi2nVbaV+xh8Q4nTVD9cXYbVPm2z/EVm1m8y+mmftg2/lfsZ8avN39MNuXt
ZlvOIGrmX7EreI9pvP0dvmZji0+B5OX4+rh/x1QBqdv9I/ibrXdCUTncfXBqGFsn/0s2c1BFGIA1
r8/5ZmK+ZC9n8WZb9iB6ortPDInJNiNoUarcffB6g+RavGmq18HeTM2XbF1RZtlyDouu7M5P/1uP
7KdS2A7Vp+vfGgfuPHpDJNhyxAsJnd3npaFAlGyrywlxzZ2H/72dxa4z8xvB0J2H/rXm9++H3laW
/YuC97lY+6pltu3P3teixW/cxQ+b8r/+HwAAAP//</cx:binary>
              </cx:geoCache>
            </cx:geography>
          </cx:layoutPr>
          <cx:valueColors>
            <cx:minColor>
              <a:schemeClr val="accent1"/>
            </cx:minColor>
            <cx:midColor>
              <a:schemeClr val="accent1">
                <a:lumMod val="60000"/>
                <a:lumOff val="40000"/>
              </a:schemeClr>
            </cx:midColor>
            <cx:maxColor>
              <a:schemeClr val="accent1">
                <a:lumMod val="50000"/>
              </a:schemeClr>
            </cx:maxColor>
          </cx:valueColors>
        </cx:series>
        <cx:series layoutId="regionMap" hidden="1" uniqueId="{06C978D4-4A50-4626-B601-817A751BA28F}" formatIdx="1">
          <cx:tx>
            <cx:txData>
              <cx:f>_xlchart.v5.4</cx:f>
              <cx:v/>
            </cx:txData>
          </cx:tx>
          <cx:dataId val="1"/>
          <cx:layoutPr>
            <cx:geography cultureLanguage="en-US" cultureRegion="IN" attribution="Powered by Bing">
              <cx:geoCache provider="{E9337A44-BEBE-4D9F-B70C-5C5E7DAFC167}">
                <cx:binary>7H1pc+O20u5fmZrPlw4AEiBw6uRUBaQ22/I+6xeWxla4E9y3X3+b9sxkRNF55VtR3XpVR0klNSM3
DOlhb083Gv9+bP/1GG03+bs2jpLiX4/t7++9skz/9dtvxaO3jTfFWew/5qpQf5Znjyr+Tf35p/+4
/e0p3zR+4v5GEDZ+e/Q2eblt3//n37Cau1WX6nFT+iq5rbZ5d7ctqqgs/ua9ybfebZ5iP7H9osz9
xxL//t7aRP6fKk/8zfvd98jv71dJp95ZqkrK7v27bVL6ZffQpdvf3+8sQt6/+238u/b29S6CrZfV
Ewjr7IwjQgkyDfHyev8uUon7/W0NY36GhWCMc/7j115tYpA8dD/Pu9k8PeXbooAP9fz/kfTOJ4Bv
4Y//4dM/Dt/C8K27AMDv7z8kfrl9endfbspt8f6dX6jnrynvLDV8xA/3z9/Jb7u4/effo7+Ab2n0
N79AO/5K/6e3dtH7H5C93yTl5p0VbXL47z8OsHmm64YpdMRf8AUYdwAm+AywxQY16C7Ab9zWNM5T
ixwA95TYiaG+Vskx9JmfEUpNzr6jLcwR3FicEcK5MJHYhfvQ/UzjvCN9AMA7P39iyN5XZbnNj6DK
4gzrhBBMwCIPrwlVZoRiwxBsF9vDdzSN7kj+AHxHEieG8EOloipOtkfA2DwTnAgDMETPLzzSX4LO
dE7ALRN9F+O37Gka5b0VDsB5T+bEkL4BnDfFEXAWZ0JnJiX6d10e22nAWRhcUKGP3PLhO5pGeSR/
AMYjiRNDGDwRWOttdwSM2RkzmWnqyHzRZdDYcejFKDOYziBsfwnpX2Lrt+xpGuW9FQ7AeU/m1JDe
5H6qiuME2QY3iEk5mbbaEHUJZpicQNj1/Brh/YadvYL3eIVD8B7LnBjeD7kPmeERFNtAZ6YOaJuU
vaC5Z7wJGG9Esc7Aff+q2G/Y0jTO4wUOgHkscmIoQ6r47rLyi3fX3/wiPUZKRc8IJwyDO55WbnDV
jCGEMRmlVP8PW5tG/bWFDkD/NdETfArkNk82+ZN/lLzaOMOI65jr+rQvx+YZhO1ImBPPwNs29voj
MLHOgU/AhOSJPQBySLqPEMOJM4qJDsb8Oz86kXNTajBQ/pGpP3hD03jvih8A867AiaF7qYp3fyTu
NtoeIxczzhAlROcGfXHnY4yBAyfGwKLil0B+hPQbNzeN99QiB6A+JXZi2A8e7FxtsspPjqDfwLdA
HGcQ43vkPpGjEUGAjhH02fCPsH/j5qaxn1rkAOynxE4Ne78I/U5V/zzwBoYYHkPCxvQXpQe/vZuc
kzOmU0YRGxFt92/Y0yt4j1c4BOyxzIkhvYrTbe5von8eaZ2cmYJwauj4ldCNngHOlGITonh4jVT8
LTubxntvhQPw3pM5Mbz/iDdP6hhFEn4Gjpohwo2xQkPWbhICldAXan0E8+EbmgZ5JH8AxCOJEwMY
vNNQ1c6r/ggqzc6EaWAD4e8EzDhiI+QMngDI1/cqYW/a1TTSE5/sALQnpE4M8atNegxuFYJvYRID
Eqxp8w1YEz7QbXzEoh+6n2mUd6QPwHfn508M2fU2eVKPxyFWoKg9pNam+R1eMMu7cZh+Bt1JTNeH
VoZfudQ3bWoa4/0lDgB6X+jE0F5W8TcVPZX/vN0eiHPOoEGBQIPCLsrArzEMTUqgys+vXazfsqVp
qPdWOADpPZkTA/pqW2+ejmGyoceIEZPr6CVnRhNJNQI+HTi1UaPK4TuaRnkkfwDGI4kTQ3i9edoe
pasQAjBGdApFsBenvGe10RkkzlAUxSM+/PAdTSM8kj8A4ZHEiSFsb6N3Vwpak49grYEioQbkTPi7
Td4rcxrgmg3dZGQUeb1pU9M47y9xANT7QieG9uWmKLZHoEHBMRuYQr/RdxZ032JDjRPeNjgbRWGH
72ga55H8ASCPJP4XIPz3W9z5yEOr+B8/Yp+J/v63tvdDVRKqU0zgV9oJoTGFYZOYGAz1RNz164GE
l9h7ak/TyP4qu/MZXz7i338p//ua+KGdOz5GLMXPDF0wyIBfayIDehNDFxn42h/PzUsT2f3BO5rG
byQ/AeHOX8ERlZHEySEcbY7SWjC07GODD42Cz6+9WArILENwioxRtHyvDt3RawjvyO/AOX0MZ/Qb
Tw1hqDTa/tY9RhPRs5aaFAoRo8wXGkcw0zl0lnyvPo+0+C17egXmvSUOQXpP6MTAnkXvbJVDEeKf
D5x1fmYSwaC5+8Wnir3aIvAgQoDO08mK05u2No35/hIHYL4vdGKYL6JtcoToWYcmIQLtnmKf1iJw
epJjEzLlXbU+eCfT8O6KHwDtrsCJwfql+naMyGtgpjGUheGs3PMLINzlLPEZ5Sbj0MC/C+6h+5nG
dkf6AGh3fv7EkF1Di/oxFBa6fkwD+n7Qdws9dspQU6LQ7MnM4YzdTtHh0A1NY7v7eQ4Ad1fg1NDd
5o9wcNs6xplnxAT7eQp2D16gOzjoNTaNHxH3DsgH7+sVlHflD4F5V+LEcL6AKQrH6NtkZ3AKA0rD
P/o2x2HWQG7Ae1A5HpFWB29oGt9d8QPg3RU4MXTnMNnhKHkxGzr0oDELf6emJuA1OYV/8OiI5OE7
msZ3JH8AwCOJE0P4chMeobwAUTMUD6ClGjqypuMrOEWFKWYQY+064UP3M43ujvQB2O78/Ikh+0cE
s1yOUgI2Ya6MAdX8H+21e7Uj6NoB0w21o11s37CjaXjHCxyA8FjkxEBeK2je+eejLOighiEFcEL9
RxPeXk8HOoPGeijy41F+dPCGphHeFT8A312BE0P3pa9QbvJvx5kfZJzB0YghE3rdCzPBdQMOu05V
kN68vWnMp5c5APtpwRN7Br6o6Dg0JkwvMIbWyn3mA94wMbRs7VrvQzcyDfKO9AHY7vz8iUFqwYSZ
o4wqgN4sJAicTP/eubPHakG1CU66MmjP2sX28B1NozuSPwDfkcSpIbyJNjV0Zx0jMx6G9jEYFGW+
Rl1COwcfHoNxSRGK9odv6hWc95Y4BOo9oRNDG/zQu3m+SR794lH9UKyJZgpQx7cNcDShpRYhE2b4
fS82jW01GRw4nHTTR514Ozs6JDychnt6mQMgnxY8Mdgftt7mGG0h0LAFx9UYnFt+JSwbTkVAUAYn
019aukaO+vB9TaM+kj8A7pHEieF8DartHoMk0aFSDIVizl6ZPwDtA5zCkTY2PrZ4+I6mER7JH4Dw
SOLEEIbxsolfRJvqGP7aBKIaQZWYvUaFYQjKhhkE5qge9bZdTSM9scYBaE9InRjif0Spf5QZj/yM
wVg/iMBf02kBJ1VNE+a4jlr6Dt/RNNIj+QNQHkmcGML3m8ccCNCkPE72TE3AGaZGvQRmewzowJ8N
/8B0meE18tBv29s03hNrHID5hNSJ4X4TbR6PMqGXn8Fk5cFff2+3njr4ZA6DCMjPYP3XwvPh+5rG
eyR/ANYjiRPDeUgx5BaGAB5Dv2FyPoXGXTgF9RPLcXuQgQiC446j8tXbdjWN9MQaB6A9IXViiH8E
daqOcuINzjpx4MWQDp2bw2vcUzIMVheg2QyNQrQ3bGka6/ECBwA9FjkxlC2Y2fsMcjGMmPjH24f4
GRqOvEG0PQ015NYY/Do18Qjqt+5rGu/JVQ4AfVLuxJC/84EyLfyn46TagiOq6y892c8B2Y5Bh1Rb
B0IVuolGTNqbNjWN+f4SBwC+L3RiaN97m6NoOLBnkFvBqQv9NX6cwJR9GPgJ48F+cLXfD1UdvKNp
nEef6ACQRxKnhrC/zY/irqElnyG4KYG/JFdTB1rhTShsw7mqqezr4H29gvOu/CE470qcGM4XMJv3
CJ6agkV+Hs763WaPj85BUDa4crg2ZdwBeuB+ptHd+TQHYLvz8yeG7JBTrOHmrWOkWCa0acMAAiDL
XgKxPQoFihwE7q4Sxh558oZNTWO8/7kOAHpf6MTQfqjgmrJjBF/Qy62joVb1+kF1IoaLyuiomezw
HU3jPJI/AOSRxP8PhF+/qe7nZX/2ptzMnq8J/OWyur9/9/kLgrsNR6LfD8BMF6tf6KvV0+/vYX6X
TuGqxF8K2MNCO8dnnhvhf0RUu0JbCPV+fw8XDoozA87mgEpj6GBAAtZrti9vDXcfQdsKzJUx4d4U
Av0pCUw+8Z5vMYQSGYcj1ODPh3OXIFSo6vktCvVxaF+DKSbApw+zDn5e4Xijos5Vyc/v5Puf3yVV
fKP8pCx+fz9E+unLjw27pQju44EaDFC6cBgbijUGPIzp4+ZuOOAA38D/wY5edmFq0iuv1/T8AxFe
FCdW0sXY9jytMiUPCuKvCx7qn1PF2myBmugWabolkB7Fdu63pW+VJnKY7DgrslWs8t7uzFqnsqJF
oM+Kwjlv9KjxJHR99eGtisNPaRPfMex9bRtSWqauX3UsyWwjof6sN1tfupn3TZkekwQlxIajL57s
kGa1ZbUQSRBaMQk7u9GLew87n1ORpN6FQkHf2ZEXu+3HMFKFFftVv6hpHqbK9mBVZqmqK5O1oXVs
2XnB0jd8Z06cqJmhMvGlk9TpNxL0X906YFbJYsfCaTIvWr+xVBwss0Bb+n5WyjZPviE9DxaR5uh2
b8QffFd7JOs06dbKCO0WfLwloj60nMh5wBm/jRWaia5eBP0tLtmHpi4+Me7OjCTPxPrX2x53IH5U
aZf7rvf9os6ff/zPg4rh3+frH//6y+Gez7/+tNiqIQEoxj80KOLPn/rrCsnhwf95n+RInV4uC31F
1/72zTcpogHcxM9Okj1F/Kt6t6+Ng+QPbXy+bgxuMTIoDEpm5jDN6ac2Qv0CFIsAEaJTmEABnSs/
1BEIFChfAceNYODqoKp/qSOcdh/UV3wfasHYW9QRhgCO9RFCeCiMDo4BCi3GwL39qo8a1/QwbyN1
XXUs7NcBSWlwBYNDAzIryzi6Mf2sLq04olc0zW4qjz8artfMchI/1DhSMsbxZUbyL1GnzqMiufNj
3y41oqQeOGtO6TptVWglZrNw9dq18yK89FDzqQ+SrfCLVqqaFI0VMnVL3X6OYyOQXh/JyvFCmxiV
1KMyWJeVJls4R2rnep3gb0QLZFs3bjRv3JrjFRSGc/+chKx0FyHWjF6iWjBfxqkeMOloSE8lq9OV
6ZvxIjPFOYt4bzzoTmmCFsZNUNlCuJ5xmQd+8SVonMSuaj0m87qqg94qq+DCLBIWWJGgRTMzc6rZ
ouB5sAwTs+5nWe6ibBbDZTeujJr2W8ViTzZR8slMaWWVXrPgtcgXqc82qaMc22yy9jbgUTPXK7X2
HZRZpCgNmXr+LOsdJD2hz5RTfyDI+ajl/ao0tbvajK2kblZGl9i1Vl62Db0WNeskT5mVR+SuK/xN
qqmLqDI1qcpqXZlJIk0tXXLPTGUu8F1daSvod5klTnbF3fRPoucy1pol9svzhsVL18kuXZFcxaS9
qlT+DXXFHRjoJQnYh1DUtkfNpYPda+bVhcyi9D5Ke2kmvh2laNHQ4i4vua23zSpgxqfYZBIJvhG8
OI+CprJ4rJNZIP5MsJoZEbvSm2rWKL4w0t7Cqlg7fnEjwvJLXvS2WXE71fAsMb2rXsXXvOukoP1V
UhjLoiWf+kataxJII06uAEsrDZq58LyrwFFXhS4uep3O4cKL84AGi5Shr4QGc+6X61Qvv7mKB7MB
etcUD0aOLT/GC87aS1wXpawEuqqIZ3dZcJUzcpt1jVX22gfq6asoGBCulJ2G8arAXHKfS+FkW2EU
Vp1En8zA+6CQd1d62txJ6SWQoHNSxVcoqCPJOnzZGO23GjZhiQTbYYIvnbo/5ya2cq+8dE081/z2
omm9lSriTPIu3+YmuatFe5d3oZCOW9Nbk+YLnzXeFXOMdUdJfJ1HKFjFYZR50idKx6ms4fuibXaN
GL1sMDxSlTBWUV1oVsaa1E4L8dS57RVqY9uI9UvTd2/brGR2m/p2HUWmrWfZ1zLo4PHTmZ2mzqLN
6m6u6c7XPo/WjWi9OY+rh7BxZrqmmzI0ymJGVO9LHCap1GPDtDQvb6201pIZ8fDaMYw7I/dzSzPi
UgYtIF4H4iZItUVhxHZaB2qZeqFmaYUZzLMWr8ugWoSOa1GhJGqKagZPB6BFSClFVdxkjtdZiVFc
EL3PLa8rLqLYvzac8FLPtAXWm1nMsquUEF82WfyYGjGA0Ws2aYrGDpwOvqyS3dKIr1QZ6HauAl0m
oRNKp29LSwsqS0EZ0iIeDWTgp5exH1UyLDUIBtTnEqqUsiNxbWlxf1Vhfd2G/hPTs0BqnCydNKGy
9b1AJkF9xxLysRTsXKPukmtVNI+6JLWQ36zhcEgnawMsQKxFqSXSpLJJ5lSy8dNsHlTdpcpwI5nu
X4dh9qFmFbM8r31wGYXnHfsy0Uqr5uG1E8FX42VxKCFQ+CBqCKqE7wlpUK257JUeXXiUhdZ/ff9z
ED6kw3/j+/+6b3rC+Q+Z9PdQHK6GhqMfGK45AxxNGEL1i/OHzHtoSIKpNXA3BjQh/uX8n5N2iI0p
pO4Yzo1A0v4jFoeSKcTPMBqFIGhA12EWzo8waCdQgxRkIhY3MJpw/qZA3NBhev/LqMlfnb+JXRxF
OVXXhOeRJGVLLNx03axtk1iS1sWrxgnnkd6tkjghqRSJ9yUW5nlc+3MuygXE11dmla0Cql33mjND
RtxZUWCqy8g31XXg5x87ZHzmIkU2L8Akca2c1V34wHLnOkBlL9PQDWWiAvO2dfXelXkfpGgWcYaU
zWmDZrhFV73n17bojXrhOV5khZQnMkGlZ/lYzPogTyV2OxtDgNs7ypcCUbWsWBPbmmNctV0Kitr1
gcVEQW2vLVu7rtGHGpe2GXQzSAgKuxRGaDHk55Lm9JHB57TSGNbNhBPPqxriHNQ2Q8QePApf8Fnn
qERWsRfKqPNWfWI4qyiFIB7F7UwlGlqgQePooHvOoIXOoI8GKKY/aKg26GruBtcKlJcGHdin3piX
rIKb6DJmRaDozHSv00Hzdb25NFo/m+uDVQCzUtnJYCmawWaIHL7TMKvWaRqkVtipaN7X2iLN6TkF
kxOD6RGBA/tuAir7Bi/NwT51YKhqMFhu0l/1gwWrBltWBfnnCIybUymwcmDuINYLZDpYQDesLG2w
iWqwjsVgJ9PBYkaErQIwoeFgS/XBqpLenWWDnW009ZgNlpeg4oqAKTbAJCsUX8ZgonFUXeiDzY7B
eGc1PDPOYM59Vko+WHhUd9XMAKNfJK5VgBPIMn1tUi+cl0KBBxs8RYgTOwTXkQfaTTj4kj6ETIkO
/qXi7A7G665FGqlZ3tWtZQzeiDz7pcFDRYOvCkJkQrTmzAq3eGgHf1YHydo1nK/d4OkijS/cAnwf
LdFHA5xhoGemjaMAAgPwkxwcptvgSwwOtAdHmoFDzQfPGg8+1inYys18LHtwv2VVXPuqyLRbpcyo
33ZtFC7NOLZFmH4E95ZZdV9fFH5vrJMqTM+DUnxRIboraf7E087Ks0SmvTt3E3DERXMuSm2eI3Kh
Iu/KV+q8DYqrREU3dRKGdlZ41SJyqmbFHPpnz7QKfFejGwu/csxaGknd3xPWr90sLxY48pu569NW
NjqD32ss0ihfNGZfzDrTWza9fpPTL4WGXRlX4kMisIwC9yInOcTWJV01ni7dtL+penB4td/Ijla3
YOxk3pQ2ITSVmu/C05c5N3pRXkIapGTIywtV+XcwWsJyOve+T9tcsrzSpdf6gSR5CYoSm8lCuFif
513kz/WQLSLXd5dZpIFZIh6fqS6iUqvgyUlSDD4WE0PGfXzDW+2zaSR/qhw9xZyElqGij33iXlIc
6rLNUsOmuldLlDumNIP0G68051KE3tpvOZgJhG5iFYMymBm+Bg5hq0MeP0N9s60KrZcxa+/0pktX
elJ/xSqeZwb63PnmmkfZXBSxZ8ct6As3CmPRVu6npBWVHTbJPOXdonaUjdL8RvjRBWLBvC/S2qKZ
cxWYpW/7LFyqpBPnpkY/8Mqx4TfXli6MBww97AuPqsLuM5zO0jZoZ5lG1i2owY2pxB3timUbGb6V
RHUszYhIkgZY+konkpqlDZ/Vl2VYGBARZBsvS0Or7MpWsiiaYa7+dMWjn5p3RanfhfCdgB/AFnGT
SJYRv4lLMkeeBijWIWQojpnLum98q6mDhZdlpvSDSMiu1J58WI7zMLMpdc8j6l55AQklq/z6wtBw
MgNAuyUl7V2bRDaOU892lY/tiidL0WYc1DZ3V61qLUezQ65feIIzq4rMr6jo/RWYY+m2BpWu0c41
L7snvrNgfZdbrseqWevjXgq3eAyJ50MEqS9yavayzrK1W9Acnpr0vqLtpYGKwNL0bFElYOvD9KpR
abRKcXPtlu0d6tQMKJZuTpl5oTKx1LDWPHh9V82bimxDUbWyMM3b2DODWR/1+n/jqRdSc7iD+2/j
qZexgfvR1PPl3T+ITXYGwRTiw6gwOK+DgRT5QaVAZwEVFGIjTuGpGOKin1SKfgakI4KDXMPNweyZ
Dv0RTQ0ziqAlHFgWuFl4YGDeEk0BCzOKpqCQpsMleMBvQkQHYxmG93+hNv0g8AovKvU1zEWKPYuC
Q3JLq2I0PI/9uEkhuKp7MwcrjFLS2l7S9fcV0AGuBwZKrwJzE3qJpZeZBXTC18CMML5pcJG6Mqi7
NJNFnYjrWJX9uatXkb/Kyo48QOFOoytcoFyTQmjldezoznnYMVTOSBgG+N43RWRc9G4fFY8icVmz
znWIEG7TOFrULIm2Tp35tkr8KrIqg1fBAgUcz0XG/fquzLpyZUSk0GTfe2E/c1BXfe0NswqlmXno
glTCucizLBBWkjTezGtFBi4rL2cV6vwLWnbGpeP0aSUD4Qg4HJAMSUnmNP0CGgx6K0y86sYjdNN1
yVczdB+BOohncKg2tlJGt2kZb5lQuJR1nBlPDXC/HCUWydxmlfSIzstQq742zGWyJsgHuxRW2OKi
CWTpl/wT1vwUHG3jPLY+q5eFnpCVpznepRaSGIKI3Lwys6pd9WmaLQxaKyuv+1LGYdJalKcecK8V
GJbaWQO4qc1KbhVN4di8jC94JZRFndyEJJz2q9CIhvRbRNIQ3gJ4s1jmLlhAveOBpYoKuJgktFMu
ttzwNKCE+mWExbUe+GzROU0ptQJiQ9fJDVkY7WfDMxzwHX0tgctfKCxauMCyBTYpb65CHYIxBHkg
sL60tcHU0VmgpeQauWF4rzVUv0sYS7YBMvLzOPOTT0Ft5BaQyU9JVwcX/80Cn7PAoXfldas13Fez
b7Ce+11+pH9wEhi6V59HwEOb+jDk/YfBgg44uLcepnsgjExjJ/2DFmhmgB0xdYFgJgDUW36mf3Aq
FY48wDswDvHZBr7FYOkIPs5uLQaMog4XAw1zBwg0e4CR/tVg5VkRwyNP+us0LWKJCVCQOcRCMqXd
BxxkC2dgexuc2U5afUOV89VnrQuZkHFRUCeys1ADoiGzEe3WtAczRct4KG+UErn+NfOjeefwGxS5
wNngisyyBi3CVqwbnV6qWC24K5ZVQCARTAzJGZQvcjcBvWXNPaOqmpc63mosuYBqDCQ3teGuTRZC
TJmGjuQZnXWkpDKDZCvW/RWijWmlhH80U/2mINE1FaUvqzypxaVeRx9D1i2cFoLAjopbiGLv3QZo
aYq43dFASTdSyO5KY9soN1j3fZUCBwC/p6P1otdy19Ir19IYXsZaiOZui3Mb6jjerBQ+KiFaSs8r
0L0ZSRvIC4kp7NDLLD8CkiaLvrkVcOJQ9ZJpXSyqLPdDSxnBooXYcm4ib66acJknyax1S2FBBG/n
RoRXpFMXOor8c6zRcwdCQ4vnKLWc0LxsQqUs0bD7DPts3vEc6Kqkhk8hcuOaR2yVNBWSqhdM0oJG
K26KKxbqlp4kpVWUztfC5Q+BxunK1/Sl0TlbqAwkMjZaMJ0stgsaNJKopJWaYSyV5wDbG8booeOi
kGZLV3GStLbhpncYR8sWRjNbHg2x5fZFZim/cFasqZHEKIQMMhBzPwHyDrL4bpY5kSGpGz7mOEms
OsO1VWo9uRMZsKk9DWce5f5CQ9iztRKjed0gMSTZJF6HzElWrNLo0uWosRqNh6uUU7s1DdeqDUhh
4UqVYFEqGmXLvHCVc88brp1j5j25mkpn3AnFeQ8ku4WjfJVn7kOBWC5RSZaGlkKRo2QzSJ/orOaJ
zetEXSQ8XxdF/KdqIVo0+uYCtfXntOhMyXr/Y0UgmfZ1oVu1k36uC45mZtFfVkkLWS4yrJwHt33J
a0spd1E2dJ30HFRC+1g2GFlG0y+h2gK7do1rs3AXFThd6gcJWP9QSREWi8AklxErgXwQ5dc+da5r
FH6ATDWTMXVWLsnoou7K2Apw5s/yQBVz30s2AoVrz4XaZeR6M4iJ1kkkluXg2hoTonTH/6C0DmIM
zfVkQNCT7qcf65Dbmht1MucEb+qcziDy/VIbJdQxSr7Wgfy1MBSIbllofC1TSFex+QR54kVH06se
GxcupK/ADNDrVimyTvJ4EaEsmqUmu9Db3MrzAEmNeHe1iwZ2oftKzIdQmxkdv0h9fy7qoJCOB8l7
kmoPfm1iSFiiW+6bmkVU/iXVyruAVY6VaP2NRx1lMb209caxYz+YaRpb9kWjZOkEmYXyQlh52MnI
E2toUF6ZdXjtQ0BWGYA6kL8XtdlCoSjuvwpWl/Myzi3GlxnNAxlpgWuVdXZZNf1KpP43SGKRdDC2
edwImfrBfRnRbyL3MrtqC08mmfnR1SBnxbEDSqy8VupeOYszsIVS9FG7KBLSxVf/9bjPHnc4w/W6
x32573Hf5z6f/Prhc+HeHCipEqAzobMJhp/94nPhDCiBoBLuuUM6/rX7AcZNQ0MCtM/QweFiDunD
jxwBZssDfwtnS+FqevZMxr6BcdXJHuMKeQsUdYHdwEPOMZxs+dXlqpT2Ie2c4hpF+kOointS0Aug
wW7DNg1kUxveuYtkE2NjGXRdYMdh6MydmkENqq0ciTLIA8yuqWzVaXfI6HvLS0FZGqNksujxbYky
AvEnrJWYyptFQYpXws0J1Baj+9wE99onikus2rWWISjfJkAcQpAJVZeWQmWyhMQ2qokm87LJrlAS
P5jMpGuociaXwVB4UYxkEKQW7oxE5sIooCDGa9VYzPNc2efJg5dwYAa1OAWSpVhlKZ07vHRnRYiJ
NI1422fexxxFmowIXSpdu9f6EANHBAxeD8FuT91vcBtHIDNaAfelmlmSrwIg2lz9qfY2uW6Vwl0q
5bh2U1dEZj0wXGYXRnYStVAyBlZllnbBpulVKtsyf6rK5hyXaQO0MHygvHZWRc5vOg1Kol0y08Be
l/gcXNhXGrAV9HQYUnQU2cKkl7mb3/hx20qj5qlULb4OGfDkYMKANwEXVOpmIUvXLVZmbiBZOPEd
cRvjVmjeY0uS2yLh1YUT6RHEPx6ek0wRoA9qPNeB8JpBKbicRWEe2E7YYJkjfkl8b9VVPnjI3LMD
nty1YRFI1Fd4lumxaT1z6EwAycyQmc3crKzv3RLploPFJ/BxgVR+ushQcF6E5oMh+g3W3GQRd6Es
IR8Mak/YigBrneo5hHlGumxQTSxWZucwZ7AA/LKF0OPACh2coJvUKJN77mTwi/MCqHp13Rv5o68a
tSK1dgMP+EYoX8k8cJNzL8Sf86xe5x5wXho3Attv9G3bVNva7Lp5UbZApxfcWUL88A24OYhPYCtW
CMTX3G+qe0rc4iLm6LwOgi9pDyXcDPcWVd5CNdpl1nWpLKCVYV66DpZARP9f9r6tOVIc3fYXcQKB
EPDKJW92OtN3u14IV5WLm0AgCZD49XtRPd1TPTO7d/TriXnoiAq37UwnQlrfurEkUqk73ay4fean
qiy+jlUYHXofg1LjdI/F6mN686bX0Q+P2yh+iAJxwrOyeSIs63aRApoog2dZudVp1j1L2mZ9xO9c
bsc5mFMTC5HrkuFIqsEZz7JvdyTeLp7xbeqygmWkoK9gwyUI3GlKlOr7k/ImkxonDJPK1mPCFdfp
apR4K92iPPRVJa8NxCIQrmNmekt20dS9RN7aJKWudqD0SKI8aBiDP/R5wZspV3WL6dxq76hqAUtT
w4APvenorpF7HKPqGJKC7xneSzIy3ybYFkGjd+qqGugrYuwPVI+HxmFZIzDZNo1u0oE74KYDCtjo
eiaxtAozkGeZpgRTKv7h0ODalHEi1PxMTHMTyOkkfHsXU/k4h/OUrKrbY46GdtMVK1RTcjeb6bkW
Qb8pIteOTvdtubxErTmrbn1TBYVEPAPKdKJ5YbN3osY9WKWeNEakZJx6N3GF8JOYm9tWjXnoSrHr
bKTACJtzIf37trc8NwvJQ284eRPGaaumHzTAVFKSCxXNnTMP17EJxzSa1deiAK09tesbr5QPwiGK
8r7pvqgu9JLCFlWiveFJVPTGOIPIZ45Vo4vYti8gYgI4tVjv7/FIES+vhDnFQS2y/x7hvx3hfzk0
//GAsf9wiuMH/xBOwdpBMMX0jFYePDcLVNofkzNyhBilQb+BuEM/CxDDP1xTdCveAj3o/ixdc381
MaJq0Y9w7GLMZT6SKxjF/8Yxvs3Fv3oYUX2NUt2Ybg1QPsVDlP98iOtiahRfe+/aC3Nw2/o2LNvU
n23+C7j5D/qstz1/95cXwl8CYmADHgRDROwhLvfnF3JKF1pn1S7XANr9UZdQcvNgnTY6sU6EB+nU
AabPiBaX2E63Yzs8h56c0gG7bbp0jc5bSdob4Pk480Xspr7FUOwEmNWLRb4tahjSLqpkUvlDkVaK
Pw54wdQb+FW4dZ8QeHswantjFjkzZuCw22SW6GbswDw1LrZGAq9OHLCD77f9rmDzzqOBzqY1Jplq
TTKE9NWJwnNMpzjBn/lWUS7S2QSPYFIfnM7cOU5wp2sXkswC+YdF8VHG891SdGXexeS5KCMOOmGe
M/D6VTLN+j5w1t1Cp9c4kp9eGX4pO/suV7hlWhieMm7rayCLGxZ29Q4euwOLC7lXlcQVkvJZsPJQ
RxgYeVXdgCz+Cs6y3c2dC25vtnXKhRkyZyoFRELR74hev5AOEulKmwuN5C76KTwNfjay9ssUkmcM
mmdhuikRxD6AStzjCTaHkpVOomfV4Y368BnpnqbgOB8dO3CMmRA7wvhLrLvc9U02jRjo1ETbBAsi
A7sNHkM1+zacfkTwdCWw8JydeQqOQGN9NgqWktDeeTBUGatossAFsmsJv468ana+v+zXjp7LsigT
Teg+nvHZVgtYHYcFczaM8Zd+Dg7Y6R5ED/+qv6qXmuGkLVUsE1/zR7VMRxK0M8x27jcXDuCkXOwL
r+tgb/z14hkclapqZmj18jvh3ndv4V7aGnIQHMNWQEnaLsu+a4P7DmOlCQW7Df21Txnvv0Hef6tC
VaUdE09sbpuMjmF7WCZ/H4ZL6vnFLuppLHMsMRzfFBQLwcD70TeilLsV/gGbBgySIXHht5nhwJGl
OtBl7DM3XHYkgkpPRmlOnAc4OyzE5IIcJfW/g0g41gHZzauQOPLaYX5pA78G44ppfE2COggw0pE6
axvv6A/0QOb2TrtlbqPxo2D1A2mdTzzgr4UpQN0LrMYn681PplQaWGHJQOKQo9MFXd4v8y38FCJz
lMLvbcFzqLk+8qlc3lkTKvA8w7ms3SJVgzkAXyUVVbdD02azVodl0W8rjAaJiZt0btxrIwW4D9yy
ft9eAZpvuOMcV17RpCqrKl+N7XbNDO/RYjtovRDnzUQeKs32RujPdi2X1MA/2bPhbZE5AP2xovIG
PqaDZeGHadwva2DbNORWJZZ/4fRxXtTBTtNpEHC7OTJpeplCBXSzKqYa9kw/h6J8mD3os6QSSb0O
894PG71zSYvPc6ZfeooB3oglKxwJ5mQZ9hPpL1Ys73BZqaS29EVrNzoPTkPHJ9HMaRlRWRyE1xH+
f22jf565tl0UxwWF9LNZ3l344/+8iyqlfFpYZq+LTcOE7ouTeRRnOBcS56N/HfL2CACdFDdDCiNo
s/ePf72NbyPdP0+Lf7x8jAdww1bvwQm0vb1fZCFZTMHssGm9ziHsn8fYhXvNfHFEl/z910FPnRsi
BIIyJBe2oV9fJ9Y4s2ozr1dS31ZGJZx/xuVxmdT/8Tp/Pv1++3vweeIMJC6e/7AVKv36OuNI4Wol
lXtlwY1klwGifkVf//pvof/pmv36x/zLi0yV6yqv3T60nXrBlJDPB/d7lG1j2HlTSZIHmcO7uvMO
z3dRxpO7+VzvXlRe5PfNaUkOMpO3OsM3ZmKH//KXv35/3vZh/utFpegBReWUT2KYp/78IfBpXUlv
XXKFIH1X3Lu5eyav5clbUiedMpuc3snepHfjbjkEQdrdwB9zP+D9Lgn/r2b8m2a85ZT+dy7oaUK/
a9d//juO3H7udxyJLAx6PLFKkYT5Sfv8giPR4IlrtwVbtr3BxxX8p/seqjDwIvFYjG/ZmKLf6SD0
jOELIcoNNtVk023+Bo7Eoxj+dRmBV0ccB57rGAQ1cpZ/XkYEaZEOO0F3WYMKIzgB0yDgG237bMWJ
t5vx2MqkKfiZDrzdQcw+uBPZ14O+VHBy9zAjxYt33xOsOZ+cAOc+2om+FwoeuV6fzUrg5qaHtQLL
3TrCplVYvivL7+eiaHPWdeCKGUtpZcek4NOQrmThN52Fg4S3lcIUqftX4Vc30ySi296Hv6ZqeRID
SSYrmFmIRV+ZE+z8glwrIy5QlcH3x83bQmaWiJ5domCEn3VqMfyRpb5MTHxnAjRFYCrMxVXI0nrG
sRnY6Fbr8OgX3ZNvzael61nR+Csv1NNiZ5E1vNwLNt2wYPURGWCXQIQnrnmZxFXw7DtOtgr9ZanY
Ts0Q2CVxxmSJoyuQBEzBcCIu7R2Oxt3gkCKdAvhXIK87CZHOa7z5/MQ6QMZqbiu5mmQd7I0Pq/Gx
h5IAKXgluwqky85p4i8m7K7BPN3SKRJ3w3gPn9+ua2v4pcgFDy/cTb55sGROTNPUcOKSD5/Apsid
t5kWr9i1d2wCVRDPS3BAmulrbafnAfmErFshqGPSvrMzPrqxne5dUxhgaNa9jPTIrIp0oiPgUtjQ
5jtMArtiKbCjBKAG7TQ/VrbJ8e96VzPFMz32LxPeRjGCIWxrBxTWIvZBDSwoIwJfs4XvDtehaZww
adyIg2GIXNgk/Yc6EjfLUnynI0jEmrEnKtiD4yFh5Gh2G3eiQMwqrMA7jjypZfXgQIsIYB67DQTk
AjM2T1HRf4vcOuuLDlaZ9jvww0sZg/jH+bwAaLbsMBRkSWOniJJCmDJFCmbnU3iS6rAABq/b3VBP
2Rp3B/Cle5fOh9bzed5Pxuaemj4RLBkyyqBKuOHwJkSXx2Tgt1WAT3vkqk5LsS5Jb4hKfAW4hxkE
hIexImEQE8+wDT2Pa/sAXTNKkXWR4M3AiMADFmXd1E8Jl+LGFYbfkq7dTZF6q1l4G9DgASpbnYY1
3AkOWdc96NMp6QuJ8IHtsTJ978vQj4/RjAsfLCW0xfUOwun3YnZI5s/BQzxED9NSHBYfihIpimPY
OlESYNFDAY12Zo14CmmMJhjuQLktckmaUcJkvtoPGGRVGigHwws+0UQ78qRnJ3NblhMLOpNs9ndY
YPY1XJ05AD5iMqQCLzSX64fT2g89s6fSzE8th+3KRNfWg0NuKVeaLp7fJH7tvNjI6eH7CvNq1bvK
zuwE08CSDARSK3BMCb+5/cB1tSeqglwMA4Wjz/Mzz6GfnlFn7jpng3RbXkdgV127fsBwebCDDlLB
YNdzwxq86wJ+zEr4TL1xeezCRUD11GRfeCXs9j7D+5l5ny0TViC+/sPjxkKJ5QVSBjUSgtx5GCf3
U3VYEpR19UmE4fMgxzvF4e0DdvkcBvcSOstONYZBd+IUoDz0dow0u8pd5W1B3L3pKa42PvGbsccf
3fZYTZPu32nHxU442IPLOorTeYYhA1PQoaDMHDDlfYysFvsYWyNt693oTw4c+fS86uqiuN/BcreJ
yrX/uDTdAruauI7K3TeSPg0r9kpBHkk5eqlYI2iPIvwoIR4PrEJ+idbZUrvQbN3p2WErSYumHsHh
z00iAyzqVhXvM1vfpR4fKkXLQ8mdA6x+U95hg0uonh6HiCAj2eL6+g4c1L6EUBoWfVJ28msjObaK
IRVVfMFGt0fmEXZKqp7gPnlpPf0qx426b6dXMMfugXgLyVCqWd2sqpmzOqqC1CKtmYhyhLhG/KNU
zWPP/D3cPQIkNnlfWuOCwmt2AcfwEsWtl/gDS2LpvczsflGntXhb6hta+fd9g3hLwF5A1T7XfodL
0+s968WdNyBKOXCiDm7DPgk2ekyA8XWuGW5t6hQHJ7Acnpi1znlYT0lNaSbi5VYNHDkZD/Qyx/YL
qXm15LEP2E0l7JrU5fQaagsyfdSnUd9twSkdTFsGqLxS6yPCJOJ6742ySWEifiV23cMa39xCcCQ7
OADOsQ2dHYzJ7c7XBjIK8f1EDRGuVtHly1Ce4ExzUsWiaoW8UsZjYicfyrIRnxHUx/PS64RiiuuC
8LUR3bKXut58meNq74Cma9AvuM6hXRn0bZ3XdZFCcVCnQq/xhfhSXNzVWQ8FgmLHGakoLqso+pio
tfvVwLhfDdGY4/BoYDkod11AzojyHbEbnViBpQO5DJqOs2YOhuGXOhywQ8xjmVDlHKqR3lGqNn7a
/fSt+wlj7lccObCKV+aAHGzWRWHmwfjga7xH5RORtYbDUtX2EPOrvYe4IOhTH9tDyd4q0817S3ST
L2OVj0QJ2C/XHZsdmLcgCJdbXuyrdk+EFg9tER4cZ/Huahle/MEUaT11YBC4+4yPH6c44Z+wvJ5m
UD27Abk5qdi+iZSCkTfsd71x29TCF5HVKCPF6L+89RqCs+GPAbUZ48FzF49XhLk0NPv2uFC2kzXM
0rhPoFcbMDzDUyjoN2yuVx0vPYghLIGajQ/EkTtscGS/UIkjm8BlXcHQHq7k0DPtJXHTXUI48JO2
qKa8jlubSwMZDvs+zyq2VolkKu8MXGEDoxh6hfexKg8EOdiREG7BBD7BO4DcNymHWxPyEKlfJ8cM
lwZL9I6jBe4H7wGayg3u3EMIB08yLtXzAIkrbWqEsAiO2pbc1oWGyiReg4G8Ia+BM6IPX5VnwEvB
QrzUsQNBBJmwOChfOgv3HHH4ca1PksqzKcvdsHhtNtXRfRUMOKMd9jwN83kF/+L29VdOg9MIfgmX
3d7OJpoOVlqd94adOxKB1emwETrV3g1qlo0BPbTCu13c9WaSvp+WAWz+bGWvzdJ1V79w16zUkQPe
UnrZXCGqOU9w9ywwRCVB11tQXyHNo1UeFPVEJt3ma7gAw0RmuoYDbL2xnMW+jJW67UZp09FfbhA4
ibApFfuWF84+/pnn9H5mO4OfOU+mnRPbop+sEsf4ZxqU/0yGrj9Toj+nkH/0BfyDtf0t8f5rbPnX
FPP/n3Hojbf4i3HsZ037fxjG8FO/D2NIQ/lg3iF6+4g9/1TZ/yD1fTjlGPJQqOIHlKTg+38n9fGk
ycBDPBkRZaSeMY79cxhDyy/o8RCVF7D3Qg/4W2ko6At/GsbgEkYjAeoo8Vp4yDi0/o2N/4Wo6TnK
CznexmWOq1Zlje8/l4F7aPreOU28zImmECSd2cILPx3NYkkiOg/ga45POmhZOvg+2ZWNfYocAYd5
03EkE2rojazLm2n4VnoGI96qJwPrOhOTk/nO9KKQX32wOMH3TLLitqIWqRoTZmz0/HQIZ3kOtiB0
UHoQCEPyVRfqh1tM+gCv2Z30GlKnTKg2r82E0cPch2gTuB/h7kVuZ4kylwPPSjiSEx4DNZa43RIb
DzHCDF0emXbXlJNzIE1Y5E23oaup/k56z0yZmhEd0sgvHpgCm4ykR5Fovy2x4fXkUniwzZmpx9eq
uD+EhBPARHO/1rxPZOgSvAryVKsfR4n0ozGL/eXMQ+S+RHUyvXfQEpy97r0Pzf3xhpWYZoSeg2Qu
mgcRqBSZ8JvZceFJZD525G7EQbclHuUk8wikOSKzDJGzyNl2xMdYSqRH3egYjOtVLmhr8Fn8imHp
m5DibiRBiKmwOpEouAa6eCpnMKzLIrO5jX/IgR7dKT4j3K0yWJ3BsPc0RBhGvDULP7G+fjeNVqmN
nR+mjOAk0vC08flL0MefQx+OR0LhKmt6HYFmxccycyTOfdCzt3W9YPYdVf3F68U1ss0LYkcdDB4C
CkMfmNyBVznvQMVDUkVJw6zeI2ZgD/RE3paAN7askUXj44vASLrrXOReTMTKTLnmSeDSc+7NPqZo
yPv9Cjcd445ISzpdBwWoBk68yeU6faODfpsxinVlT3eFT74PRQssjDH81BdQRJ3IR8AonHfM+EW6
jvB3tFiu+8l1oUAUFOmLmoxBNlD/6ExxvC8j2AT8SOBGENEP27CMtuqrP6B1Iy4WYLZG4VBh6sfS
Dwzv1nYp7v0hHfqW7+oVDrqqiJNQxnA81rhHCgNhfhbVmhVkTJH69xNM/vtyZnFWRebiz8XBC3rw
DP2FtdHRcerd5B0RoyqWc4zfqah+HMZFp8yG17Zjr2HcXQDqObT2xmZFY9ANADlgrPE0Tv0W8srN
hNEY/ZohzhVO8lTEOk500+9EO5w9b9orgFNVTrAPlLe6GzpgYoX8sb16fD7QCZg7XGKsdmMuHfcQ
5Hb5e6Xqu4ANfcLcJTw2Y3jrxd1drQe0d/hQ5pUF9m/bNWEMsZ+yIlHqlKQ+Tk196001Js7hnRMD
dIzEM8bV4pmGwesk1cXrWrqvWhFnpiEsDSoaZLLXFjpACCVw0vsScfgkZqtJHds9LKx4XQu8v3EA
CbzWPrYe/FzZcQNJimdQHI7FKj/H3qe5t/It7ugdXIzOCFOzFnGClqezrl69wr/XC9CdX082h1WP
Zu0s2aEd3R/QSW9oXd/WVRUmhiM7xVGs4nb1+8r8p6LAdZeFCNNRg29BHOEBKY53UjRdUvr9veeY
JSFr9IPF0x4pe5uMfVRgxJ/vJYJsRe89zZU6u7NTJuEQncA3gKoKu3sOwceEtXOqFv5cBxryjzYn
ZqN83myMSLIGaTNynrJ+aXMOFJ6tbnVe+8UBYBcGMJj/KNfiaRxKeILJ5tOvq2Fvqua7HIJLKeCE
cKNlzSi4ibQHdXOzlMDfOhp24RLC6zSu9xZyW+7MGvbkuHw0fp1PnnOIi+Emjrt5Rwd5wuNX4RIk
VZmOY2f3/sKmlDMBV1Rn3zq5+Vncj1GZem+8Ch0Jy3zHpu7ZC+bbFQ6upPfqnM50B49NPovoph7k
oVGFPqxYRHBuoeYC7rU9+KdvKxnOQYk926A+gjUb9JafuqnP2owfqynzsMbdqeyUomD7XcDkWrRR
mxhkIIvWPYQau2mpd3TGIoAihp17SMKaR1nQ9hxiY/g0TPV5pcFnq7FR1j7bjBPhATc3zBNrfSb+
IhOj4ouM13Lv0eWFY91iXkepR7jIKt2MZbjR7mUwzwkLV7F3bfmBs1Pmoq6mxKkQwHJRMHqJIuQv
HVSk7KWSb3VLHoMe+RRYmp9JqN+btioSDECIY2ksDR4OsJAZDGpe9NUvIrOXsYTLSnzFCCGSPhLf
VYFWkbghc9ZXPnok2iaArX284sw7LxT/b0Glj47BvOhZpj6KNPK4m74Xm+McXqvvftVfmiZWSKcV
yM8hEEIGNiW0tNUOhOiclQb2+aKZ+HaXjWkRoeIodHGX4RkJyEGCUpjKgw0wEYXYJxFBSRanf7Ri
rfa103xpw+HbZmH3q67bg57dA0fgGhTzIwGuT8d5DE+rEx4HDZ8dNvE25YBGMJatNmUOURfko7PS
dj9atxWo2lguJiwA2p3y1vXrLo318APcTpm7NH5fBKo1nLGDeNEzpI6CIBlK580dp+JeRv0Zu7mK
izOdq31Vo0Eg5QgDH13dxuOd4FxULJG1WyKYhHaYNXdJPFa3/8XRP/0xWwrkf8fR55/PMf93HL39
1B84GhbXLf+B1iBg1Z849Q8cjcIBuj3qJoh/rw74XdT4d+XiD1EDz4mmLrqaIXrQ3yJyf0PUQD/R
v+Jo9BYwxEqQKkD9K/1XwdN3QBzpsW0vxKVaIq9cDy4QSked10i0IeAOk6ACp7EZ70kIlOB1x1V2
B3M8ukWz73sIiouXNDp6qSxcg0M9P8EOJOG+x9J7K8oG2VXdt6AEqZd2qrhYBN2yoOmAib0AbkuU
fYnWXowDKigOvY8ixHGAYq6bwV2vPcNkGxbyxTj9fgjECoLXvKzu8p0hBQs5E7/AX4dDaQIUAEXi
AJPrvS6bH7OQHpi2jsFY4bJ8WHQLf0p3daiPkiDX6s0EcYlEcQ/rDc5/O7pwggA0GxkdZjZ40BKW
Q8G8dzrAVLoIpNzRL4RdTYxzHge0OQx+x/NYhhGMjwWDjbx6m+BdzPpgwI6wpe/XwYUFsUI6d3J8
ELwL09WhAj4HOTCQ0E+QB7Q4iB1+qCoX4jZtgr1CTOPGHfvyIdShAcqUZSLCbk1w7gSXOsIJBwhC
7qylp9FQ71r1QmS9gi7ExlDvZd2oXSU6UiGGh5f2mui1iEd96FG9ktkKkoudCQ4B0xbq1BDZ32NA
8W+iQWLC72KLeIMi/VifaIgQzRHhBqfdecBPsw1b8pWMPs0mmBTCsWnOFfyFUxE1mW67pOrhBaao
hnKD7p42MQhN0Phw2cv2k4vpdUShlHDdMgONvOcaZyIeC3OWsXNWWwtVhTqqAMygqfrT4Ml3z2lv
mwWe1REFVv7WZKW3kBMOAvBLd31nJp1WOmyvWy2Dl/v+7Dd3XVA16xnFeoAE7ZK3W9ODT+EkblH+
MHUFvBpbH4RB3ivv1vLb+rMrAn5GiGHojxCbwhRsnRIU5RLBz5YJCtrKbM0TfmXyaaui6OwzjhCD
EFIfZPU8Nyksr35SoMJCb10WaN4WB6eE8ctF0YWp8Z1b80WFCozQDpDI3c17GcRtinkS/NvWmeGi
PCPcWjRaGdSJHVp1cl19w2ATSHXAvbzmCHa6nfeFGYLeGysel60NL7ZLnBa9CqFEAc/XUQD3NI1h
Xg4/u6L8zgVkCtxdKRqCYCl1musU9Ij/z15O3ClMJ2W7XBAEKnqxxLsIS98ltMx6V+oyKwKNVgDn
p0RToyykPfVKi6f/nh+/nR8gQP7q/OjxrOq6/+MJif/siPTwg38cId7/Q5DHRz033VKIm+78xxFC
kZJAJ2wM5O5Sb2uf+ScVA7rfRZWs/7MicpPMf9fFkaAIQI/8jGUHf0cTD9hmnfiTtQIV8ohpRKii
xCn289nXv9IwIdeYLb3SuYCmxKRdY2aj62exAPe0AWfJ5Lu7AEKOtJhk9i4A8UMMFf3eC2cHM0oo
+vChLOMOzVzE+tmkiHwtkCSy3wIHIirmzq1EwtJ9M8KPrLwISsgWHoLgTPeYUQFh5RLtUTNp8nlw
YpicvLd+aN1v5ci7dPTMsBNVyKFPacSSMaEmWuB7/XCkcBx78gvaWAgEPCDntZqD09KHp6aRGGh9
eQyqDiGAydlP3vQVbREuOgrgxQc3A9Hdm/PIsWeUboKeQaYXfqv5LuoBxrsN/6PJB70GFmUrqI/y
E9ka5DEijGU2bvOo9NbEK+SQrz6KWLRR10ZBk+yt5u9zFNhHQl5rCkMh9t67eiyrDA6H+2bVfeJ7
5GxdEBewz13QPPVNoRiERbD+UY04ZzQHaL2LzLrX4VKfeiTOIVnWBvufcnMVjH6bSIigSWRcjARD
hNu9HpwLHWu0kMFG3miB3EaNwwWqIXzgAjRR1IR7tLm192Z2L2KoqkPcQtpEWx9+qF3XegdVv0fS
y+95C6F6EQeJ9p9k9cI+RkMRxDsVhZs7rULZJqqJhuIRe+uwR34AFUJY2P2xl/O875SoTwVzonNN
FzQOaiDbFgAXOJdsgJdM1TvfIHAFLFxKgOJFYWskwMktQXKlAHJ2465DULG85QU0s6ixF77B7Ap4
u1qDbPRLfbEdtWm3gXIqoxYFb2DKnJkd5QbdkSMjcPPZx2qD9R4wPt2AfiyjlJhgihJqFy9O6glF
pQG86RPGOAn6n57nYHBOFqZQgkoh/xoECh47ibnJVYkJfDQHtiVGea5v5Ri7GWp8/AsCOZA5xgC0
GsVB7gixF3KDVNE67f0KJr85zLRrSGodo06L2cb2uSS7gBbRXYszy+ni756jblnT3Ytpei4c/6yG
0INk6wx31qnt0WPY37GJQ5Bb+NYHw5/cpijQAfKpHXNT8/CmpuGtrQROqKbaj9DuGdAW/mbU+fW3
Qdd9QfDoBq61266KSgg/QXHuo0FlHRv83VSVcDWY8jhW/CjBQrYjLhK6DE/DZhV2wFgmXht9lNOC
O5DVFzMLKH89bKyOnjvIj2NKGD/CGJdH6NDvZATM1cL9ALohrLG1dDu5QlRqRzQOKfjEPPcBBTtZ
NTTIDNKbeIGJmmz8isYMvxj+HHH3Ai72mc1uhEUaC3YpUDpxKqL1B9qaHuDNPm7NhX7X5UwbHxl9
cxM4bdrM80cFpZTJGX1D5ZA0QXRVbf8QCe973OIe7rj/qWP7QB3Dsm4cznZcd06LZkNc466Z6pSi
BKGEFXle3SHhRfdttfZp2dYjaZujnKrrKsBDYaIPm/IIPg0lQwLRZLw8D9z7rjd3drSpt6LNq9gi
OrB9r84expNDyNy0GxrwvOhWCVyDnaj+xiIwFWiPBN2XtlWY20Fc+sFFjsIVe6I9uEem8uqBSKrn
8mAgenfCuZ3RnYTSno8R2SzbmnTELYK4XlpIklE40AvNPyX/FMX0YDS8JxFiIJC866V/C1CwpFY/
g/cQvcwypYV3QTbgUWkGUiLIgtI8UBM/8Wb1sphzlQgkyjsUG6BZAiuwALUTuigm637Ysb7DDrez
I09VFWUsMnFSquroo4PGrPLNJfq0BtEjgys2qtRDOdv7qUM7wvA5/g97Z7Ict7Ft0S+CA30zrUL1
LLaiSGqCICkRPRJI9Pj6t5K+siVZtsJv7JEjLFFgoYDMk+fsvbauJ+tiMlaepdQ09baN5jCP7U2i
z+vYSm7wTp3FYN2aUflmaB0OFcwrtHlrXd9rwbD3Ww1kTnGXOeKic5CI85t6Ec5p16k3kYZ5Vu+3
vIqXbeBvDas9WhHUtAk/V80Nm6o2FA0je9s2X8dePPJP2dsJ8C9q73rNm9SEXoLopxqf26pdV752
KjpxoDkAFsmjQpf5NtHYJJI6AhGWYP7qXW9ndsMD2pZPXYOrvfYOnudtahgTa9HJfYUVHBakwBQU
7IxsQCmsPwhJI15DlgFxJ4167l2wiauORpHD0+ntcEndAJ461Wi7B62/g/m296foKrKWQ2WXxyEy
zomAkFn16bYs5us60g+8YMha/JtM4ss3pqfaLULmt/0aePl9JN2blk5n1Tq3/cSRxjfaux5h9lBT
X9PHXiHJuoAtdCz8BptkEZ+lWqgW8Tjn3cmUzq6mFMbyt86scd2OquipTlDT7mU9Hw1TnDTTTq60
SI9e4jlF7A5qY72Y3VHqaNrGkX5nzsaTfU5i9z7rSu9gwhzhENk92Q6bOrRllOibPDU+uyWi6q55
zGVywMhxxXqbbnSZ7wwsxs6S8l4WXr5edOMpcdp6G1j5h1J2xaqZ8l1uGddZDoc0p8lGkWxtTd/b
RwyRRlMrN+mCS6KVay8eY4zXZpgXyLuS6nqKmX5HEwOU+XOt1RutzZ47SfuG/Y83oC1gxXibvo83
MtEqTJ0dxMoefi+bxMSYZtD8z8PgbNtUp7fubVN92lRCyRKQygBYWrZTWZ3mDspX53wQqNdRDdTr
qmVUA7ZAS0btWJmAoOhsGZztpCEOhdadF218amX9CsRpE2cYsKNiOg92D+NNZ/v7pqT934j1W4j4
X1WTDpM00wVLB1A5+LHB0I1Syj6ttCu93KdZjhvwVsPU+M8X+X4aiMyZMhR5qGHolk1p+97l+GYa
mGolxgvb0K4m/0WOu7F/mkBlodQbkl9c6WcF77dXUr/JN1cSkZiNJeJKpn/J9A/TjLFZloNAHNN/
SvF7/PMH++nd422iOQIi/j2g59vLmcxsfOQC8fWgfer6UxO/VsXrP1/iZ5+IaplimctYjFW//0SR
6016wKH0erDXzDV7kJJFAjMuRpoG46373Q7PTP3nIMuffCLbwBPmY962TcNFAPztJxoqtzVnvUuv
ocwDZGhWfbyr8198JkbQPx5LvruI+vNvvqU20jrHjbhIhqOhkxdZkIT/fNd+9THUn39zhaFbaD0T
SHAt6zMowXUuPkBu+8VFlNnhh9PVdx/jh6+mzpXzpWzT60kDueeAhLu205YF7slhjsyQqW9/ccWf
fSwcCcz1Heb3wLm+/1h56pdpxZT62mtuGj1mmHnword/f+ssF9uDi0/OZIj7/TUix9Jcf5DZddUm
tBdDr4J2Udz/80V+duvIu6IRZxmWZwY/XESMieel6ZTx/TxVLhhzzh4sBkF0l/Une0CrFN388xXV
M/Xjl/XtFX/4spirB7I25uxan7TV0D5ADPrFYmB8/+04OvB5w7MNRwnQlZ/xh8WnFXaSJ5NRXmcX
8tAd2DzPQK02zk1y66yRcW4ZT27/+VN9f8n3lZWF+8/7+MMlkwFKKgyR7HpwsWjRCjIDFgWx/+er
/PzeYRLV2Tmx3fzwbSGfdL2u1LPrqEFUapx8v/vFvVN3/8dvxzbU0wY/SZGUvn/oanIqjLml+eVx
9J19k2rzU2ozncmyX3yWn92xb6/0wwLHiVhIw3Oza8P5kvg3TnTXLL9Y3n5+CRxSOE55k7wfHrXU
yAffXuL8uqquHDCHU2quzN79xVb3s1eIh+2Pq/zw1edySLo55ipp/op2NbK0jbS3DnzZvLvW8l3h
/OI7+svHMmH7geLDFxWQcPDuM/pmTTWDCKWjBx21G3aN/DS6APZv/+WD9sMl6KV9u2xXQ8wNTZri
elxwzGqIvoHt/n8u8Z62R8FDn+37S2TTBB2ck9Z1W7xqC3Cl9BcX+MujzGdAAYqN2KHxBjzl+wuw
dHqjUQFQpc4re2edZIcUEijylvcP8p86TuXY/H1X9vcIwr9O9dRP/dGSRR2nvEoMWxyWYVUz/dGS
Veo4pml8QXxNpO792ZI1fjN8G/sZ5gCyO+Da/NGSJaIR/g0iJ3BxZO2wBv6rtuz7M/bnaqfUcUz1
sEl4rmrPIpH7/hHBvK5b6JAKgG4eBh4bSYnBhH/wXOBWjXaF+EqCoEnPeQFSQs4QleYY6NZitOEw
+V+A/p4ZW36wlZigIqQmnJXAoI2BVPjW3i/6rYsCocRHjP1kUwJaY0JehhTpT62DrEeJF6wp2bSo
GeCvnueu/8JpeDOidqA1h1gZ/QPTq1cXPUSM+AzrB9EjWlr2+wzVBFKjU0sXVZgOOgGoUYqBYqCz
cE1x76G7GJUAY5Z2uksW87lAm2Hq+mOic1zyoghXvRJwSKOI16BIk5Xttkdn6oatj96jU7oPi+Nc
kt1FShAyKWnIUE+4s9gSWlQjBGzo+5Jf7kRxYa4XJS7RKmQmWuldBVbxGfpLvZtNJ0etnlsrbY4+
4CJ+K+p+CnUlXKna7JwrKUsKV3JDelCB6ttz1t4kZpTj/ibX5mOixDAxxQ/8aA34I1kmvrhJlHCm
8oOj8S6lcbozDecPDRobOsU36ZRqm17Jb2aE6ZBF6GsgzNHM6obBWbkirv0pQ7szt7W2apScp8fp
sJ5R+CwofVBZhaOS/qQ+Ti8LNRAl6ClDHdS2yNmzZbJDU0mHktaNcb1YNz2qoiTj94+V0GhRkiMX
yzX+MMa9So5UYvIR6JM0zExjjIU4pXE9K/mSjo6JUyteZSVtEhUDYbROk+QcL3xkV4vV72IliGqU
NKqbAycclVyqsLoA7DASqlL0V0L4Dw7aKk+JrHIlt9LRXRnorxDMXMg0SA+oshjDKpGWbSLPC5Rw
q1QSrgwtV2QJ5ODBRZM6HgfgFocFui9a6E9MtXGFFIwu+1SGk41CWmnExmHB4IVsrDH0axMZWe2M
CkAKPBWBWVvV97027ERb0TIRW6wmAfa7tMUtNQSYXBDWuEqx5uvD46IkbGB7NCRtNOvnMFMqt8rF
ITDzqZC/CaWDI7DlzkcYh9C+WS674RwhmZtxwcdI6AykdCaSusJZrrQejd2A2M5UqrueM3uvdHgm
QR8rNysKHlDMCK6G5KaBKCiUgq8qnXrtu2a5BsVAw1If3pIc/hKdZE9REHlVkQNOCElIeHnzsqk/
CK3JAL2jHTQq55AoNeHyLiw0sV+s/CqYdpqGSslRCkSyuPBUKVWiZHgYK52iUIrFcrA/905n0x3O
PwtreIT/9LoolaNQesfYGq/nHqQVUNVhPXcuBIx3gaTTV6Y8MZPpTqw9DXClGnT11EDLqsru4FRl
5pLGA3L2Hsie7+8SWxq73p5r3qWmMlaTN8kF3Snox41fafa0ajDA+3t80jPhOhYNn0utKuf+LtBL
o7sbA6lZp37qcdM5VZE8ysU2h6u8q/ciBrBdZ+BsCO+yt4AV4lWjw2qS8W0bWYxm8+lo21W/lZqc
dr7mnhymsiHIMwZMhfvaCNHS1nHZqzP7Mefos04YGMNEWNyjJXiY84o2MH8dS58jPtWR/ZxkCO47
H92dtTRvXZAAF0+EDhGeuYCuD6rPQ1oLLdvzTAd+SoNsC1//TGTYjRb1kJnEJxDvbwtJbOOEkaY1
8PrENXKL1pqOyXxw9BHknVc/p7m4dVMATZ3pJBvMr96q68Y73cwuoza40LKZeYv5thg6/0rsvOVD
+bHCLqgtR3OeIEI4chPF8jafWHr0RF9NUzgVpyLxzjq+kDCYxDOutUNiWRg96JejIKX04mG8dL18
CRkrInPSmAiyY4aj5ywh2ujzgukxcDCYcBfqvVeB1W+F3u2Y5LO223XoBam3WUDO4+jTPnR5CIvs
wZRMyKFZRWGiITLx82Dk4soQkgd7C87JepkY9FljGq9HHxNsOdUMy8R4UfuYRHwfz1xseFc0uM99
QYbTBMcxAKvSlu0+7rtnNxjxNA753VxozWYp42ITIdYiF4KpS89pvB8x4RbimGk5v2O/PPZNkGx5
67DedYvALWZixQX10AbBPQv0VscJmZcJjenY2luZuG8GkJqpN62hLx6a0cL9Ut8GjnhJ2ehWkKwv
bVQBtsN7NxBlsYsWQ64dXR5iJXafuzFemQ5ntCTPDwFeXYae1TrzzWbXOmTVMVS8ytP+mkpkW5nd
x6E09gxVkDv0jDfn3p42uV4OyMSUChzDz07DerZGpy5CNx92lUaT2QXrf+i4ofTriysdAsrK97pj
X6FZb1yw+O10X1TE2s2CTZAli6QkRIbaaJyKKnDXeApJD+FNO8WGee0aWFG1FlheV+moi8zCQlcO
OGwmRgPvr3Ww7fQ66bOPmi7irVaRKMIixwLnjPulNHklGNCYsKBD37DK0BXTayXiB8tprtrKe11s
63Vy9W3duo8ijx9FjMi5A0MblfWjLvy9BShr9M2TlWlrywSvoRcJ/enxWc2se8/8EuRgvPv0ZjG8
ZhV0+l1lq0UcNzVrffL7Kei/stvgsPX3ZfehrL/I9Ln4a+Gtfu5r4W3Yv6GBoOY2HOd/3pOvhbfh
/oaSy/AouSmkv2VNWdZvMAJwciKS+Brt81ULAdqZnoDv2UAFfodX/Qs5nfFOYf628AYxgQOG6lol
CAIeUI2Ob46wXtLIatKa+TxZuNG2Rq4DVKo9iE1v+rKAMF7LTu8onKxU95a9cHMSJ1DDZuPGdW1M
zmYyhn4VjXtpDN68slzzleFxi9w9egYPdYesrLxGQpcAU3TxYTvkfSAYbM/Cdd+wFWZhXppMM6o2
3SZ9byFgTeUGUZKHGsxwLpa+LQ9aVXQNk0gwbevJBfCTZbG8RKzGi5cGF5nb5Scy+aqwrcd5Kx1K
fzSCmFJAL60hPan6xggu7WE+5k564YsuOhG4lW9zLQDjEcD8X9HLZswHP3M7BV4S4sM0MYBN+dpA
PRs2E1khjd8jBbe1p8I1rmp3qo5e0n8AAayHUWmjaWOgt46DWbuUmfs6VtQMjfCMnXCytyXLPqFv
AIVtD0ZJ9JEXXdR2Nt/LsotCVBpESVji0CfZly5ezCcTdODNwuxtO7gFQzlUA9SogkKbDL0A70pk
bNxR1452PekXDoGpuzQx0dzK3r2QxEj4RZzdAbw5jMn8QavRbwm7snc69brnlhmdRVmtCW10QyB0
TPhyTOy2DitymnPtwkh60j5mmThPQx0fGK5Z+amLMF7u4pL5H1IJKV15lfDdDUQBpOfZSBtiU2JD
hc5k/EsgpVVkAEz6RkMTo5IEahUqoJkqX4BNaTlKFTqQvucP4FgGCAQn0GIHi0S8TlLMM4MR5Bcm
pgQjLpc7e5DG9HsD+b/VS6db9fer11ow5H4m873tnv+6gqmf/bqCYaxjyoLhODAMFQrG4vZ1BYMz
b9Nw43V9p9e6NOS+CoKByeuWSRubL/Z3mPwfai7vN+x5DqQy/HAKiPuvKCemrloD365gDjY9Fkr+
TZcMNNfm9/t2BQtKbwmAjg1XxZCaSUQ8hNCPTNjtY7WILFtnbnk/ZzF82Em78NGUhplTDquR00NC
mNYKKzGcre6U+9PdoE8Xc4QmtE7cYNWPPiL5dDkGafdxLOdLr7QOGFGJDY3QePrtFUrbo1uTmjeV
zSFdipFJZ0unHlVS5HHkwKT6ZvnkdIwtBaGe5lhQU3IqZQ5CZPE5aGQZjIhCp+Jrk6fZRbjfFva8
Cbq5DHVZf7BBeqzsXjNJ/ICRVy86xQhe7xiegKyihwIWXme6wGyVaTkdX1xQH1nUlCGd+VeAlel6
cNNHt+FM63ruwZp8tNE48TRhPgIH3/keAZkRI+LEJ+TDasu96SKHwA1CFCYGqJmXbpUO08ssopey
m650tQY5efeU6kFKyBbj5nw6+EkM0G7C8yYHDalXXH+OdSxEk1GRtAy5hWAkK0S3+8WNTMQJACPS
2olOvZN6a0nMJD4jd0OpZNyarSdDW0SgTRzAnqKdgt045ifDaYYnPxjQuhEf2m0V2IusEBwskSe2
xWzpSFEmjlEJVX0cULz2ZtUiPfMn9pgBvB78WsD62rzuYDGvZJsnG7wTcjPraYTwpE1PqS6KHaa5
7g6PzPIRdnESCl2xIdpCP0N29bbLmOdPQkIZTT3PhcxelretNJrrxDXTg2/I6YJgN4szL2W16TZU
83Dus4sIr1q00cR00culMFdLiUxg8lPND0dHaw6Vqd9gvzI2STLW9zpq6WEXsSl9ggwTv9m0sDYl
46nV2KHs5hC5nktgyW1W92QmUZC2Mj0ZrXnu5oW7PhKIEF+0VfPEZhystaa/lEmFQDzqVCzAAL4U
ZuOW3DMSY6b60u7MbtuUOuUr6SoNHZYoop2SF3TqKwvdjDsEcINs4A/C8FOlKNYxnVhJvTHTO8+q
6h1pAflZkBJ/yvt4+IhG0j+4cJZWiaZHO82vlnWrybfJjLQ9eqBw8uf099n9f4u5ztL694v5rvhS
VT9Zxfmhb1ZxgBc2XPBABUIqCPk3qzi1JAZnlvL3GvXPVTz4zdeRXlNomrYO8pTq8GsdGsA8ZayH
CSOA1MbQ5d80gA33+4GaagA7DPQpQXFI27b6575bxau59XAF+wE+RKAHmWMsNauniKsbS4OMgDwF
K8YnCjV5w+pbuSolslov5G+4WXAhK5TpdZm/5I04IsuiJOni7WzbeNxqq5iwCSrZ0GQ1m34IbnJ/
fEPjBmtHApnuTbxgeBRaDJMOifBxvfMr63Kqtb2WFi+ORGrnZeIizsab3EQc6HYyjHEoejpeNvSg
2AU4pwZCI65s3qF8vjQXPUxNVvUxcYptr897sE2SA5jxkpVUWDCgD9L3Hmvbw5wyvtbVdPYDWTib
iM/2FIDt7jCHrTCQfKHZrQQ6OhFHtBxzXTSkYWpb0IokFQ3GHp3xacgLWAwdLY/c0uSGoVR10C2Q
HT07XNiK5aFshzPdcszBWQurI7cl7y0zetvcZaSPbGVuoQWSsbfJRuPZz2E4tlA6G9uDJCT6p3KK
PrFZ3eHduMKsh8K+jJxt2ZrId/TqMLIWIuVHAGtAqQz10R6wr/tiV6tlv9cQuKIHBkM535ROfmhj
4CCJmX2ey8HHcoAxToroI14+Y2XFMIDMHgK3YbzR+aap3B9Y9C4yok1WdC8yhtUesW5jP14wuSQz
0dZUgnd3seTFl1Krxke+z1PnfFpK90xvd03m8HXRZEe42ncj5Oo1Fu6sDYE54iyjD90vmyrNcZzV
v9vPjHcv2hSr7mvr29rawauW+j6spzIm455aNjl6uaCpiWMWc63SBNtKHpxEfnAX5TQi1wV2edyx
gh714CAIr6VjF2GB8mxnUMdDmamkeeEVRY9xiYgISPX64/sq8N9y6FDk/f1ySJBplXbzXxdE9WN/
LIiqdnUxhtjKh+B+tyBav7km6EUV2qbwfF8dCszQVEYD4QomZrZAcaP/XA35/+ChlbOBJRNs5b84
lYMr+LGmRe7Hqkv8Kf/hV1Gr5Tenclq9k9sQoHRdGbVtn+G+o9iG3a8j37betdzTNPDmYE19JeL0
06KMnjjO7kAY0Rz3XuYBtm2NJ1Qit26USbTznSLsbe9SVwZS8qchR9QTplJlL3WU0dRUltOkjqEm
Y0IdGKavCTy/aufus+ZiVHWC8bOtrKsJDKVemVmFn54mZW+1guysYXOSunBCoSywEGIH1jD+jEPk
Z01ghgCt8DKk3XYp83mHruJFw1ObjB1a2Cnee153WRGzuqJVEK2cZnwiXue+6OZinWHQtZzuMYaY
voOD5BO/jYs3RriwYRZEqrry+BqYfT3l+m2V/5fV9CZNzSuhGl80Iu+gjYLCpSeGK+JY6s4Xuyt3
LNzPrQ0zSjXRpEasDV01GXT87WBf6vKxp+smJmYQ6O0fBf24IHuxRqI2adHREX2VZnsll/TBoYWX
234ZmhYQGnbia/KPWGdp+JVJCiKnAwK2gH7eko9716bWZV9rl8t7v1CnxJpVD9Fp/JI0Cqbkjuow
jrp9rdTvp0YBMhwt8dbMB05Zwkw0Uz3KJi7OSdPrG5/2pdtqR3NspFKTHn1Bwx5bwVU92wFt98Y/
yLoyd3RbiYajMyrTHvDDXPiQoBMZZqqD6g7RtHFUV5UIXTqos7mX8fgxovFa0IB19Z7av4JBqgXN
TjJ6mhDNrciEO5hkLq0m1ckld2iGTSAPpeYQzGNq0Y4XLVqPYjjptIJxU5j8TXBhmrzlnHE90jSO
M7rHrpntbNrJZWfvA7Vy5ot738Fo0sv4Y0sDGg2Yts4XbHeO6k4Pqk/t07CG9cUYBWw/YowHTfW0
i3a811SXmx8tSNKk822pFrhmzhukmLDsDPFWgl9Yp6I+23Nwldu4Ubp5oqVOb72fhnEzqXa7N5YE
c2XSR5ebIjOnKz92HMhyS07PXUQRq7c1aaqqjW/l2UOfh16R3ludUfAE0vDnXQttNQLwO5yOONFA
Wo2y3k+GGa0toZ/memQKAjmrzFIrZGO/IUIv2cxVs4QeM4e0gumEjwKW5ftAgskE4vvnfGp09azd
2dZRm7FlNyWtF3krAECD+8tCgAkb3xYfwdm/IV/hROvZb3LRnwKGJPpYXNbzTFYv0xOYf8nGhcXF
eBbyW98+F/ZSQlE++GI52n2gmIFqGjNxLvbJeZX+/Ga28lOs9adRdDcFgxzIXQRtVF24MOKxAlKR
DTX1wbeHL6TP9VWvZkKy695qaoFVMY1mWEzec4psxlOTpBYmHjItpkvT6LvHrldDICxV0AiJ+Gaj
xvGK239gQNUhWlgZHLbgx/knjhQTFqu+3ybLcAQTNqyhdt+6yfScqdlXraZgXdMSF6UmY63d7F00
fE2SYqtNprvOaWCdZ9WmmOhkNjm+zKpyJC+d4JXw3XOBP3UjpghvukV6cB9Na0+L77BOYiwK7oLI
3lvT7MOCIOWhnwu4j/VlHBvNFhZV8ShH2HoR0G5Np8jsC/ViO9kDRGfcYsMIeDUY7XVsJi9TJfCf
2el2GKsjC/rtbAsmuujZQjaAmxp0wipVcnUEGzuYbuSStRZpLrDOI5+IlAi0Yd4UF20y3HByrjDS
lqsotfAHUCZtqrjgZ4fhznEzf79U/QvpIvQdaonTpSIsxc0ajZA17Y1gBPaLRKachLWbahYvrsW7
3RQ4h+0SDl0B2Isx1lJd6k2gSrfm0fBLNftivFXOUBEtE89bAgQ3FKzZTl3p2yzVuy39zJc+SB9E
zYM0RtUWMTgFJl/5iu1OrkdQ/xh99XgLH5d7CpjvgNZhHwAfgRcHmMAigY27NNxjPbgZ2ROxifpg
wh1mOiRVgq/UZh43X1m/MzXnoS10UWvLGGJWPs8aQGkIMoBC9RENQu7eEyK6kwjeHaFSSeovE6nF
2PWyR4VQWY2STo3bVxe0shrsrsuZ/X9aeRSgwMAPXVFjJZlNdSLXxWNTZMWhXZp7PG9NWFTWgzbb
V13afR6bYhtE2T2bvX6CogpJhTSCNo2vyPL8ECz53tIwL3gJJ/OiF6B5bA7rjkWVCDldDPbIrwJi
3/S813QSQPMkPdJG1Mt2Fv6tEZXNxgHasqqWqdrUNU7eoeijgy7nZ1fjYeiSwdzmuf9hqpAv+JF2
TOP4WWZeGOcaZNWs3olG8PNefS3ywViJADy9ZjivdTbRqOrSJypcPDWNe6337kdhu7uoLqb9Eltv
mQ6UxxoMDFz0rQE/VcnW9Tj6d26br3Qk6OSj4DAy0jlgDmA8ue1A3Ato26Xmi5Uaq3YyW3GYET+F
GCB71ivznCPKwdgXZQAq6lM6FNzqTu7mxe5BEjvZutfzfRZ30zr1Lfa7Ds5KY0bVmtScYoN2CZ8F
cNrGB+4/GLSHREnUA3haEDmMdGfNfSj92FgRZwBFu9E+JHK8R8gD0yMN1mIsLrB30lHvEXfGrWhC
3B13tI4asnO6Qx/3Lf6D4J5Z+nVc0O4mhhz8QK3164aB49oi/m2KtSIkG/6gUTnxQmY6Foz2pcbY
P5ns59wttpBs38DzAYyUfhmJ7dZq983VtQ+a5bMJlGD28iB/81QCuFmYr8MsTwE7+Wr2nNd28HaM
JWRYxQY5jlYVBgu6+MnNH+KybNfNJM21T4cy08otMUbYuy8oDIjEtGnTGX12rB2JYIAzzKWZikPU
ACQlaPspJshjBe3ugwGzY1X32q1Xos8wS3Gwg/FhoubC7bowaME9s2k6jo+z02P1yBs+DuZM7J7S
3ghhn/wGOJUPHjf3cEzx3r25JpgqnplpgxZpqw/9Yz3w6ibSuCli8gB4Fs6Wm0KdcsDn9nl9x8gf
yIJnWJSXE+u0rM6TLautdG2wW91rVs7t2ki7h2biaFX2+v1CuOU0Fx9MG53X2LKkevrLoIQy/ohz
NcBtGtKduqhbua30iWPo3ALPr8kt69zsS0BtnAwu/YOp+rKU8kiXGUeiXA6mWT0CWAxJM7uvB/LO
W6o8L2fpA3XZr5Ng9HaiSPkle2+nT/LNTSjpPDE9WSU1HylMMJuzR/JEDlHE5D+vniM/f8m6/sq2
m2OZdkYYlxPBbCgUCqvZY4cCMWBsJqckWqURd1Bw9rUdMC7XwgYRckdW+IxcmAE0GclRsUnlcCEZ
6vRprex59CrbzIBnGHtmflNUi/s4i9T1LxvNGfgfDoLpcPYJRHewg/53Bn23ytu0qP7+DHpHgivj
FfKb/3oMVT/5xzGU6YpvGA7QQpps33vlTTSbqCKZzX4lsXydrnioL9FkIgxHnenQvfvzJOr+hgYe
piFaSt2mM/evYsfR6P54En1vyjkq2Eg5bt7nx9+cRINIE27s+/VVNUEZIqWTBj+LEMVb9ZBC3tuY
mVSpYiTgFLnHVNDpDo1jgDPRYfmW5Xgcle4LUDcvjN7vY/xtDveDmplALlH12banSM+87GWM6K8Y
xIWvePBJN+uGauOVjr/S6jm4Tpry3pHYSpGY4PvOl4s5B2oRdwLR3kOUWR9KnCBX5JVpCm07IpDz
EOpMRnosi+QhsgnQzbGk+zkg8Kk3v0Bg7XHlauOHqgn2ruudsnqatzrbp9ZOt40B5EhgJ+H4cDko
tqHd7BzW6vXgEMHqybukdSRSVHFuHW+BeWbtcj1I1lHcvvIyIjyN42HjQQNfW2m0i9Pmzg7mbTLZ
8C5s1KxSpgcIV58Mg5PdOI2XQ8wW4y/KXkuITz+VewyORjjlfRIWMicKabmNYmPeO5rBrenT4VSk
rGelE18SJ3oM/BztWcGRp9M+Z1mB47tpPFzU6W5coNI3kYd7ecipnhON+OIFG3ThX1sx0BWOLDCf
6GV2nXWb1d6taD9j5nqjP7XpZ25Z2rDSJUb7nPTkDbV4h1a213EushSGOaNv55orUQyUaYWN2Wdu
974IbjnNgKguDbSz2bTRG6PepI4AhMgzvFtM84O9qP1tCEJfc+5rgoiPzZDtcw9lpNtEl5yvhjXZ
utsoLU4cA6/HSIRdoe+KEZLeRBqg4aQPgd3au2oycQaqXTIomu2SevhI50dTlFu7Gj7Z41wfSmu4
HVoNhvIyfuHK02ayCiIEG+OqEkhMG2O+ziYfMEqenINeiy4GS74YMkJkBqjhkEK0+pQgqd00Xh8Q
Eo11caMveAwciGHZQOE/aFjIY9HekMvHVMubY7B/Vs0IHFjFZ7/2x+NAWedHHuLDad+RSTQ7MBWs
SD4FJBJRTRKql9dcggTYGv+0HNnaeodb7IOh1cpkubdqwbDepFayau/Ob9xTZ8xfiqTJQyN3buEI
xCd3GRB8DZdKoGEEHHByF0slFqbP2VIHh054nyfPg+/gL0wOhwBjsNHedOzVvIhnmG1+iPWkZtvE
ZklULrQWe4OW1uYJ9/uVQT4UiENyoasxnreZEb0VdXRdyLkP7bLTr4akJ0i3t82QLtCpMSt9s+hu
gywNZTKkNMDhxzEzQb1F5lNWY7+l4O4glGr6GdSb80XXo/yD0O16Xwz+TJ5CkXCo+G93et+dVN/y
73enM9P/L/LLT1qk6uf+2JsQ+RsWjh0cSP+b/vwxMzJ+Y+qORMl1yRxCGvBHl9Ryf6Np6WLwtvBh
8a99bZE6v3mwb3Fm2cCk3xur/6ZFqnJXvh/7B/jkkE35loX/xrJ/MPuUNRFqM5qAy9Jahm0NRZTK
3nvywBcJr38wO/c+X24iJTxujI3Z+MjC4/uoIAge3gXsW8zWTTWf3Yss1l6tMb8vNaa2sNCz3Syr
F57FjiwBpC9lBraSvhcc+q3DWoAcFkSTqRufiEWvX4wOvaVFXvsms9NouyTZfkyZDiEyPZL/lq4y
K3koceuztj0tOPqL2uegmzbPc5bfBIn1LF3jcRoQgLvdpDopAhJ+LsK6yU59T2PKKcXwwBj7U9rV
6amqjWhjjI4b6nV2n/fFJ332loNdsm+0moCssuyXxvzEYPoSJi86eg9+7S5f9E0TCLkiff2+T9In
Js8EtIqHVmrx0TPrMOBIXlbDpZEx2S3my2lOL+1+WTezZO6SJp8F0TCkzTVIJsfLgABWgi3Mgy22
sG5IJAUHYd7FzVlCvejyp8ZEJ8CvuFMy/VXHG1/YsAo6BwEiKWj48e1oBYq3hV4WVEqCgPdcu3BL
Me5Fx6YQpf1mFBnUDPfC1WF72G6iqVnOvhHFZ4lbHOVDC6RK6jsJEZ0pTX89+wEzOZgPOuXzLqng
XqSgYYqK6wHsbB0cIYEnX/RlTgHHYrTkjCX+j73z2I7cWJfuq/wvAC0ACTstb1hVLJJNN8EiW2zY
hPdPf3e2TkvdfSWdX3espZFEkeVQicz4InaQcx+dAFN8596QyL9kpX+WpbVyEhuVe0puhhDwvuWu
EADkorWgaGS63S9yVW4TQsbAhs+ROUst9i0u7rc4pjkdDj4XW+yDXJHzLQeON7bX2F7RwLsGNVEn
EgEr6Dq4TrN0FWm5Ep8nk5Zxq0ruckMi4/HJaaX4ZBfDopJZvSZb591UmrHPvOLEyfy1l+Nj1HCk
rDzW+WEKVjP0Z7izHYyvmr6GNGn3FLkXq75Kn0gNlBhPXH8ZR/IaNJbg3jvu8JQXmxpm6mKenGHB
TEsw6MQLAMxEFkdA9RerjjYp9R+2kYHzgAtS9pB4pkzcJ3P+mhkxt6DhVMwmLcttfqBJ4EbnrGjK
bl5kern3eu89acK9H4VbxzIx/3vU7zTxPUdLql2dvZ4Xh662PvAF7lM9vGh6/po32ScnrXhT5+HG
EvVRdMWp69OWvuDxmtEEMAbkQZQ+Pw+70i/2hkr8TdYOPschtGCZ1JM4ltlwHBr9VqcgctPN9SoI
2+cBrQWdZ97ENSa1Dq/eNLuH2jfv7Lg8Uv/HXXhCh8lkt09682Lp9SksXSglPQSjCZZ1aN43RfMU
5tURQ+Spi6xVFE53uZ7pKMTRU5qhggzxU5i6WzssiOfE3n6y8y26H+YWtz2JHAsNESvYc+EeH+lV
an1ABXS1jLp63/v6sz4OGS69LFv5ZnfHOBn3CKbv2YXFQaTuGRDezu16tPx2ZY4zXU2Qh0TmvM4e
rhkNAp0/IN/3L3nd7Rpb/zKDHF4wGVnPTfAcM9nHGDUzcLozGaktM4+6RYwyNmsfIaODZsl5XTvZ
0Q+pJfLT/dh2NNthD4mi6GL12TEIJ1pkivA0ELegqCBXMx727HV21nR/WxX+mXJj+jqGcSMr3WD7
ZzzGRneDQ+tJpNoZXO89io6zEp79XuLvK8BDox8ejVB7GvX+QnPVWU9HWg/cYl1Pw5tJfckyLkOo
NUj/VctnURv2Ju/CGC1EvkJKP02+pNIorikMoO0yL4dV4xiPoGgOVUNlZQTRsdGuyIvG0rQe3JCO
hXh+TzL3nhNMeJPbVbnXw+CulPlJy3Ua/CrqYGb7FTDr1jWDhSVoWUpax1oP9WjuUuQC0ww/0on5
NAFxlH13ujEMemEMg5pygkVbt+LAwEVRLs2Rg4wT6rtGds/NEN9XOeeZLnwI6mbHNCBUKvhjPsRb
XvNDOGVPbRX1+9G6TVMYIToad+KQP5Lj1raKy9CGD7HONs5z+p2WQdKaGfg0Dv5RgxmOz1tjXDQ0
ExSN6dp35n0KZA/LPNEqj1n4ojeGaymcU5Nxv1+D7TPZ9Q9V/GijRrD4czgyc0aQEjV1E1XOQlZQ
sWKv59s5E1PC+OuosxlQwV09Tls3zP1bT53dpDrFzVpcLUx1sgt79M2+k++AlAke0ULBHQY4lieM
VWkq7F8InLLdBRxQiGVwcix6vz8kWDgWFYOOnNZ3VM5skU45WrA6e8Ib9NZ2lj31RWiudHVCdSMP
M1rUsGkleYP5Q4Y3g9FyiK2M9jmB8Rst7LnWNp032NdmyGeQLzPQswFCP8dPaRkAOOdsNRvaDVy1
Q1/Gt6aXbqwxWbvm/Cir4C6s6mNXmbiZGQuYmdetyf48B4j7Cqyyrg2cgH0K5NyiDk207XufdHiJ
vRcrEKd+APJVxvRB9Zs2sOFKNA8QfqaV50ZvrKyPuqh3UOkuuj1+cLg9ypm3yY9gwMSiwEclnun7
ObqxPHEwEkvHlZz8gMuUkHE6btFswwET1QDxdZvWneKubVLqReS8L0Pnxh7jnVFzaE05E/nDwi70
dBW7OAydRFz9Qd63BAH7YppWMs8fcg5bpNPSox4Pe13XaNw1lmyFtuZY7Sm23mpptA/d6hiWLT1k
gtCEccBxs0C52KRe+TlI5nWShtcxYKcwASqag2hdMxixq/ZDknTT8nzZcNGNY3dk4vTZETq5Rj/f
0xR8Rw3BmnHP0scuvRDS2UWjft8oC2VLumM5QVOaOOtjpEEzC1fI7Gre1GzaxNjJznwme84YyRg3
NvR6AcGUrUW1iHP616Ysfc5EB6CUUdEAgdVPiaejSOy1Mnn0fcaX3nyLgBYRhzEepgE8alI+FYaj
w+HCka3RjRrUBY3uydCB+xTnwdbPQSheKapy1uSclT1xmxD58zFMbtCacevMH+Vkn9uSOlLW95aQ
KBdLWAw2KR93YC9VGmtKRb1LYRSH3OrWReZhV231a2ZpN1k7zmDdxaZh+LUI7MjAywitBq76iz2A
gfNZafAMjTfj6MHiGoqn0Z6vpea8mGYS0H5WPes4Zin/7TZp05OYbXjVXmDsQGvjToIY1hd+tAvr
jMKiMj2VuAhSAOUXjZxbScPUyoTmhQorcWiPqMwTSVCLf0OTWSHh3IfxCJJ+xufugvIiTHsz1+qu
bVvPo8EXLUGHXtUjYK1qss5GGp/TIV1aiUXjfDQ3NyWwJhJ04olQXXgY6uDqN9kLDhtrp77ujlBo
jJy7OaF/8eJF7X1eWldjGOMbHw3cM8p9WOoPZsiOprB1CGDkNnXm9jK9qUKdkAwKTGjLL8RXM9Zy
cx0K7yFti0PcJse0d9hnDuO6Mdvnyaju/BH7bl6658QIz9JNNuCxp2M+Jo9V5r9Yo7gDiFMcbcEx
uwudYmO21sssUWgb6hMTPc63ec8f1ipjQ69CuypzWueQaqA1An9M6FSQurhnwmpyjKhrjZaabLLM
ZJkKR1ubRhzMyW+xnf9frg3iobJLm65y78Hc/LnR1Yx1nQF+Hl+Skix+fmooJ/St+++Olbe/2bC/
hyn9FP3/z4M4huVgyVDwB05x38mHaTDWzLWamPAoIY6TzqRJsx7a4eHvH+ZH96ASQnktLjRoCyOh
q3s/8SUCHeGtpkzikplfhuKTJv4LE+pP/r4Lz4gKGQV7sH9+rxp/oljSkdklH7jQaFV++8fP34WQ
wDvEG6VQpz++TaHLMJX0l7x4nDvoEPF/453/5WeNHvzdYfl/vz8/HZYtJ0XxYym9WBIBaZkam9pd
WbD8P2j5/PuX8icPpaz4ivhASsn2f/ooMi/U54H6gIue7Aj7tvqiJDlr0eTEXOs39eYvX5Z62n9Y
/7++rB8+FiVef3d16UYse9fJskspluhX1Lrw1WJNnfrNP39R33/+P72o3E18uFa/PRBtbjnz0mjD
fUTdisv/cq2pJ/3ziyJqgT2Tu6OKUPz4ooSdmwU33vzSiE2QvfV4coLPf/9y/uxy/u4hfr7cZhxS
BeVD+SX33pLgxdL+D5czgTaLkJpBNe5X7ea7z4VqDELU+CovCSugcCk4/D8sXp5qolZQeRNlmYnK
9588lYrs7x2juMzu2+CeO/h0evtf1q4/u5K5iBmxWAw/DKVxff8YfiSRo71ZXkAeAl/1CKDZV1y8
RbmiJ/bvP5E/eSwGLSZ0KZfJDfrTj4+FbRSRLbFz8lTsSdaxor+uMawV7LHuvj7Uv6ZQwfLw15In
A7n/dyggg8Z/4pRXv/qd6knmkmQm4zjLwO/5nVNeDescMJ9Ioi7mUb6a3yZy3i/wqUGXCMxUpv1V
EP0mfLq/ENP/zx/7p6SU366EP5YHRnuYZrhLoLpaAvPWz8whZnQSPPFUXyatd+jdMzujQgrIvWTv
dNSIxJZziiMqHB27Jmvt2NdqSn0oGPqdCKy7tAZ9oRNdHscIWaM/Rq6x6UV3k0IN0XoOQrlBSspY
QUJul71F7qcUN3rGdFt08kw/xCYIXTxG2qaYtCtFMJ/cKX8CVcKUpvrwLPq4DIypU75P6e2MNApU
nIjYlBc9cnZfapZ+ndLs3CG/oW+cKRFk6O6MN8iWW+VEIOr+yeakSBQoWWf18E746hTQTtXW4lWE
2bZvVauUs2kFKUirOgdRdPbpWqSiZBlG5bljwykKZMjRfHItexchH/jThNeHpmYjOat2EmoBV1Uz
ryK9f8G1fhtF3SkcpiWpp63FPh4BhfIz+g38Lw2KkGpAZbDfdZgAvDfsQ1QXW09J0kMQAW5hN3dR
OG81PAGypHqprO+nBtdOMMYXPOQMs1DmEpxGhKvmqbmTXvuem+OZSMw5Cqqb3lFNxN2B5MOuq7Br
hSVQi/JMnRwHJX8vQuvOjdxy4QHMbd0cems2nNKO460xVccqSN9EYdH+6xCaDGhP7dxLp7U3oSlX
c9jvaxCqnIXvEn/cG3rwaKk2ANXik8fGAiMcBT3K7BDo1dKV1Sn2MvjcQ4XANnXBCqPAm9ujQ5YV
uIjS5rA0lk+mWUbYQ8Z3SlB9svE1otW6mfxhXgeNVye7hEoChkx1nVyseR6RwTnuiy0MwnjjU9cN
toejPJsSbEd4kTWgAWnRloccivGywYfHvMcQJw4uPVEqrIcZA2j2/JzxQcAmd6ZhblMTTDVyDS16
cIBwCYL2ZfK6zE1KHY28w61U4tZpPR2vkDtYOzRhGyFouo+tqVrBqRgXgXDSzdzhFi1KeB1D2Hzy
iDwzLevIoWTmla5hFvzky2BjrfY1lV8NPgMVWnlYu2ZwP1adnimKwGA29GT5go94tk5e0j5pA793
qrsW8PqEM4SmLIqgnHAdy+LKXPJxwFW1KntsJ4GNEDXjb1slpfXOVJu0IKa0RdlQcd5YPgWmqH7u
mPzqaxzVequTyqFdrVLT+whL/zWfzE+27Xzw/COI8Tp9cpPIVqJkfhBJUa7sPGGcmCLi9CUEhaxG
b4sZ0skDdT6P1jh96Vz9kPjegdBMvBk1FLEweqTtmaqirDpT41sBSKFv1Ow051RkATvhCPwEdRtr
82vKw8KEBejreUigljeV/FUrsNKhYCpFhnhgQk4w0LJtooKD2JReZhUl5DR7IVv+jvPtfVRhw1rF
DmfX2QkVRHSjbBeqaKJZIUyWGfMIYW4D0outijGyTC2rxmYyCzKqI+k4hYI/rlmfYxWCdABL+F37
ruGQalRMcgx0xj7Bk1ABysmnuczs9KWlspUqZIm/rCPZXD5EA2AGPYEtymCA7V4QPAsV0wzKwOX6
EptK6Q++P/AVVbHOouBrWQ8eZ2Eyn1Kn3a5XMdAOyS/GyEYpHwnReHZ4bv2hJDs6SgoMJ8aeHqnS
IcIb3faPua4fWhU7zTSf8b2GC7Yjk5pG+v0Qtkc7jx5o4wbrT3o1Z+CMjWsgm0eyNe48Axx/+qmO
MBjEsnRXpAOy7j7CYLTBhRpGS60IlHG61fE099HeaoncZz2eP3oOATNNFK3k9NzmjSw2WCQOpDSv
pcSr6Bpjdo2LPl7+uxf5On412OD99V7k9PbrR82e+gPeajv9UaKhfuvbNsTwVVOG2niaFFUwMP1u
G6L/QlzOsjgncj4wFczt2zaEbLXrErEEH8F09qud6Ns2hB4mVDMAb4AemJra/yh2zbGUHemP+xBY
flSkCeAW6sT905FI06FTmq0RwqiXG3fC1N02qiNmqs+izZ7KVFuUI1CsOZ4OLhCtbS7DE506yjb7
YWl9tRx8UIBiABXhZscRXsRiJkaSQ/BcGfjg8zjuWcnQYz2ZPbJkqCGkD66KBgmD8nZ4Q9257XBB
G/2Lk0FLT9K1bSK/s269On620vohfKz5fu/yID2GcgiWbqA8tK1RbLouPhdwmOHnmC+wc/JVFVs0
vgmrWQ2aAxS9Db70Q/MhMtthlaCTyaPMcSnr+L5Io+sY5m+zPjxqKm7oO2G/hGc9A0mzD7aj2auO
YeWiBJBOr03x7tnJ58itOdwzmqwHXiLddem6KY1bLSORDmscK++RlEFPmbtNZi82aQlKbvVc4L2J
MyLkHkbXzLE8xmdlv+ib4XPQJM0ygyu2SCMvY/RsT8wlkwcw+bdxR0e00FsiwiJjqin9+0YGKymN
a5MP9SbJLLnS/PkYZf4hasdjWUT60h2ihlqOfh8apepfYNPheCHjxM7WYOI03sqn4v5TkxYE8Aq7
W3e4IJfIvuJAVJl28HT8FazPdAj7iGqVnOqkRibeVhDmwYAvbpzK2FcWwDq2FsF10lQdV0XhKY0T
qtxdAtLXYmeZd3l0LRxtW9SaogsR9q5eJ72ct00ocEWWkRIk4ReXpbUhSFftraCfdk4eUHlYzWv8
2Rw7Q/mZe7xcGsrnkjHLWme5wj3J4DVzh70TwkKOUxhn/NEJ61WMST0Hh4dzJg6Mdq3YzwfTrFSP
eEQcox9XyUjXEWNiG2eSJXa1SQUljpbPXa0L7tYdK77GeCJJc3/ZwbIDIW72q3nyTq60MDmNzkdd
9syxfOOcD22+FC2XMu1c4yrs42xThkQJDM25p0jwtXeRBmPZcA15brZrm5EJdjjcA+9r9kE0fYZh
DvxNBs4iDXPaeLuey9h3bwM9x/dsZdaONOaLn5jvFIpsXYDta3NsTppEigk1TrTWQKg7qt4nnxMu
zZOUJOSN71z1aW4x1s4ChOGCizdej/UE3Wv4yKboaaQAZ0M7RkF1XweEyR03k2jFLXGZF1LuzYpG
HCoTm7ZbVPb0CFYewmIw1BRLgbsa/HRVFAwb07Qg+tiBP8/EuomB8Ac190TqLJ0jxeT4DLwI8djO
H+YiuNROSTIHmacr8i9xW92bIiI07x17D1AK4upMBs5M5SHSopOeoAgwuCeRlHXWXtbWnV6QSDP4
u5uKFJUn0mEJ/WZfuKG5dlKeuB/umsE66pr+xWndDTc/tTRhYaZM81Bo05tJLwoWsdZeVISdSMj0
ziGe2403hiMEx8Rt26ecfQU3z6ikzTnS6uJeDF3zWIzj8DIGZolnWm/6eidovXoN08I+tE2ZhbcZ
Mre3h3RpvQahYwanBDj+Vvppu+r84MmILAd0HYkI6CogvFSbm4VLf81WK1sOXHdrGxbFgqvwpbO6
3QxTBxQikxLVEOeqrjjOVWQOqI/z5vky5l27nJkpMUaQt5kTpp861TonS+gWNVA7VOzkS1i71xrn
xU4b7M0UNxixOLotXdyBwm9/lVP/WKmGO77FW4/Ku9nvoPxQgucTqevSyV6Wpf5mjKzj5MYulLTf
GYNBrxcl07sqY8KXf63X001gevTOgNkcF3k4GOk+L/ARNCJ/c4seypuJkug69MCmybvpDawG7BUZ
reYVeLzZs2mRsPgeZkSOXC19YMeU98VKpjsVesznbdzBKOu9C2Me4jVT8sUR0WEGzYdjnvl3Fq8N
Zn4Lw8v7ddZXpC7kcC9nwdA5YPWrpQw3uSg9BpytXCS0prbFSDcdcqrodWMpB/wZplPdxYnt49V0
bwLSkEWjY7ocwBUSWnyoIvNsRRgy7FDb2HXdLCkReqSH+raQ1VlzVG5Bd54Sr/+cDE60HaDSDeVI
3/PYUjIxPxEPxGwfXya7kEv8TYcyYGcKj3AT+6r6wntFU4y3AuYYEQoMgp00bnIRi6XNzi6f6FSw
3XvXh/5pmNYHQId6M8wstsJrj4nEESrd1OF/HHHV1werpTWni6k+iGt3j+OL9VkY9CvNi1SL78nP
I7bQYFHx30hn94X2mAo+ap3Yed0VLctNv5FG+JH4/s4eChCN/DQovS9YnH4tG+MozWj7737yt/0k
UtPf7SdJPP/JdpJf+radBNWDR05BFjxb1Rjwo9+9fACATcALju0rufYnVcvUfYGYD1Dd1QWbwG/b
SfcXiNfwH7CEOwAb+NE/sPNhK/x5O+ligIfeY1rqWfAHfxRA6WvDg67p80XI6LGioZv8/KRmbuA0
jVlu8LhSfVLs7QkL2Og/yoK1WO+YUpNKeUg86ySKdi+TZF31XtCsXFdS5BUrlEqmoCqFqV9DLYdC
z0Lor/Is0d7NrGCZzA2GiUc3wEi1tJXTw8EHvWsgta5ll3RXnTa0VdE590OK7cTrp4tv00Y/5mJV
Rrivq7F4mCbtsbDzT4TTuoVO2/VSr9lfaNMlir0DxZnUWDafa2Rj2o4HGO50QSUmTEPt0eybnMku
36ygTU99iZG+C/IvU02XRWQam8Byw5VZS8HedrzgQn4jZDZi2BXdCozAr9UgZ5z1AcsJg9FQp52G
nZyxSV3HDUqmbdN+IC+2jIbwaCAMCY66nREdZ5oUdeU872VEItbsj3VfPkW6/6JZLgCfTECjadat
LR/TeKaLJZk/tUzY+84o8eyooFPxBRPkqq/jO79TO1Ihbwg27Q05PaZNd9SK/otesyXF5+YuidRz
sqZ6cqFpTIJFlu6qRivhhDpLbSpQdeBlMGyOvIs5ldNynipC6C3lX1ExLFuFxCgYpC6kPmlrj4rz
ZT7SesZc83M0hYdcGNO2VZP/huKx3DNZscSu6+pLkME5E1DuyUrXFaNOx+nklkIxDhR2JveCMqim
sU/Ui7LBKZBBo7zfWMB5UvQMpujawoKRnOTjG5Nd6o64FxU06mF+5lRPRGgRCe1Nr8NkWfcYVoxU
LI3G/4B5550YYiD+6E23MbvIuckGsSuTXGUHaN40W7x1hhkqZcdPVjMOLUQQKDlOZnEbclceu3UA
lvgFaSRyzl3ssahae61qHnXb3umd+Tj0GPfDqNFXbWMaZ1GayU1J5w66jANKyKaGNegT6M5jYi0F
eIDtxOzpXI4CZctU+1MYmT4ea6yuB5k29MlW5hvAQgwE+RRfXJxYEKmtzeRJQoAUmBk0Gy3tIX+f
aDUz+xg8JeATv03XYcTnmSAVk2NS03v52+r+l+O+nyZjNigaVhuUMDAMHHKJtvwwkCnFCOdE841L
Jj+l1q9EYQe5/27dvP3t/Pr9vPpPHoJQjYOlmDWSOsqf5kpTGY4NdF/rkjbvXXo7lQ/5f2ax/85f
DN6sv75H7ckJ/8ktit/5dosy7F8cKPBMVlAWuOd8N3gxaAD1dXWX0gWjGZ+B5h+Kh+VANGI1YxYI
k4MffbtFKce5Q3OoBYfgK8vjn9yicPD8dIti3sOtUN0peRZQC3h+388DaTbE+dKDqZCpE20KIn6r
sZCWN18ns5/7ki9BxMBlbaFgRMQtetp8ATmY3HyAtGIgt6ZYkITw4mpiM8x9msLBbrBre2GA++jI
8WSR2BpuLrm/WFYWN9dIC/CerrTAL/LXuSZOcet2nV/nK1cvaREcbXtoCNtDv27e3LmtWalbJ3Ab
fTmONaGOhdFH9TZpSp/lT8elNWKsYU9qfSI7vEy9GAdOV6T2wkoTuTKqoT+C1Zg2HIbzs5ul3Z3h
pMO7ntt2uYdMEL73Vj1uMvxGN/C+ijU2/OCcaKwQvZZEOxBUUiUsxUT7thnsm65gVJG7A7byvl3V
QfmlQCVFUSUp/ObFMQJGa5lMVwLb3Ed20j5AsZB0G+b2Z2/O/G0fZcNN2JJ8LOZ4yykes82sY5xC
wmXUoYN/9wzAQ3bbant8LtO51mvw0qS/N1ZpYG5pGkkejDjBOx9Tu6sCnXurUULO8/3IfKWOe76N
5plW7dTszPfUamycfXiVJyhBz8JuiAWgw93mpR+uZk92l65LP/OW5nuQ5ca9Qd8ZlBJoBCdriH1i
6EV0niSlaOFkx2c7bpqt72PeThgfnUn52jvI+cnSn0i8RyKcPlvOmN3YQ9A8dvDjNw1xHTx+sXnC
VJMxUYqadDP53M6NsXKuRlpom7iym1s29+Wq7fTiiD5F9V+THpDa5vUEJGXD0Xv8Mljo514pw8NY
xBbPLXG1Uxzgg4X/nhXLYgLB3rYwQ6vJo7E87AwmYFxFo12T+prpODlkteY8dr72VOiReWMyqrnw
9AMKJCVsmsKEr1DX+mWaoxEf5ZDsw5hzVKG1yclqyukuqrGmo1dV6ynuiPz2c7BpqqYJf7Oe/Luy
Cha1v15Z1WR78VHnb/Wvf1rNrH779zXW+sUQBt4cVZ2m1sQ/jgEGO3qdWKml0yKLpMsO/dsaa/MT
fBocAbg1fiV2/r7Gil881F+lBHPT/CpT/4NjAKeNn9dYYvgcKFxGm5DFGab/uMb6o63xvRTRWUuh
q9u9bOn4mMTe6ak/6muBBtVWXG3QQDSX/Hw62zAuhqpJYHymydqfnV4/A9ayVnnFzVxfcG7tr7ip
i+mtg8FM3j4cwfpDocn6xCwXFT3WnPMFQgnsIdeo5j1usjpstm2pZdG91yL11DZbS/Bt5KGYpM/J
gyTp+Mlqw8Qk9qpTvAv/gqqpJIk2ZUkAs2izZkdLOl2qduc+5gYVlospYcJTSt8bF8Iu52lp5TNy
iAYbFJ9fSRIz7UtC4lXyQvje3uGuYdkz+iy4gJAKmap7SXyaG/L+SxkAc196sRMs/cLc56Eul1Ik
HRY7V55dJ+/vpOlgsu1S0yJrkPc74ow2AJLKezXhS81Lv/WLedHDC4Zn4VE1sUzolLzT4F/My7mV
8Q4hY/4sTU2Qa7CmJl9OOhZ2c0P0MSmVBb4jKeL1ot3aNR8IUb5R619w3RsGt7+gX1sJ/cf5mjY7
dWMkG6Juk9Mg5tkH6UEumt7XOty6ejtfm7pPXoWfN1ffbVz0acfwF1ljRQ9yKM++AO18W2i8m7e5
Fvb6Omx0dJAwKLpqz0GpCy5ebCYvadaYD+RCM1gEsFCZSEL/z3a6yFugp14ZJPuK7vjxIN3YGj6c
wQs/fOweW5IUAUmJqMAa7OP3bTR0V6lhlOMu2TxHwijrSwX8aOnM7eLrF/bflUuwivy3lQtW25/s
DNVvflu1TAZevgOF2DXZBX411/wuXhhsGmFTQl9DPvhhZ0gQUU27dFOtdz9EEQGv4xflPznY7L6u
gv9g0RKu2vj9MArzTdtgEbRNS3yd1v24aDXdZINR8DTwMDJZZsW+V/0UeeagX6hgVepOO01FrRIy
V/DV/WWvYlgDeaxBBbMyElqzimqVKrSFMalYmCrIValIF5uH94GMF5Lna6lXp6kTe4bj3k2p4mAW
umNAPizEnyFVYCxss7tRRchssmQOmTIMks0yEPrVV3GzwSNsUCf1kz66X0a2HZtkKO+lmXxyDUkx
aDrTb6m5M6jZ6tnqym4VGyVCqjZsYOMQtmHnkVcp8V+t3g6phnca4tKi6ZDdZ/DmKxt092ImBKGt
gtF6LbNem67J0Hv9BibzQMYaInXx0FWJXpL2p75o5ZcEx4vB35R8L5lrTXKNFMBYfxLrHoIUcmNy
2yUTPiHKnWThZYBfkl9b1/0IgJcyFfSg4rVnVmSzKdxFMMFiGXymYugK9+5oUI0jzdeEWMti9PH4
ExjAYgKRzAma5lDp+TtZxQSESkZnyRqxFES9Iy3zWqVwzfLI5aA5oSpH/Tp1cYU0Y6qvRt16zgFs
EY0uLuU8Fjd6Hk9LzfXXuetfRFju86w4N0azlUTnMt89jHbwzDEH01Yqpn3BuIwovb43OoSHiNdN
SgTmfAAzd6FnID14Pk/Ao+NDr1AGJW/fwlN4A6KS8oJj8CFTcRwm/VQIk9CxvmZ1WhXbSb8meOqv
aR7gSqfZnK56g1ilO41CBBD+qUv9XvVSA3zBI0+te0VOSCPJVDXOlV3inqjsNu2RJFSwqCdh1Hry
MvrkaUdTcUjxuoDRbgYCmIndkT9Nntj4PrD3hdbsPUqVYvKJM43EmkriTTUxp5q4E3iTnaHyT4lK
QjkqEzUTjoK5RkqKM8NmdKcbRyWo+MixP3TJBwAi7lM8N20K7bVQyStmJItxdreCSBbq2DpQyl3b
ZaeZ0Ja0SW9NKsclNOs+7ob3XGtofXqoO8NY+pV/DQmAlQTB8hIIPcEw3U8GWAaEVYmMxdyoFwUh
srhJX6VKlWmuQ6aVnJkgcAYiMVYjOpWMHd78wCjWusTq48zngbhapHu4o4Zj0Wgk6kfGiva7KHXi
uiroFkaXgeBbVQ83EUG4TCXidHPaVCojFxOHCwjNJTJH7CFFR0fne69ydWIIbnyVtBNE7rKM/40I
Hii6ltCK3HuE83pVRa3SeuNIbs9VCT4wt4T5iBtM3LJUxC/C224uNCd8SRTmjBIYdjZEArVmR97x
pSEqOPg9pweegvBeW6KEsgN/WhAuFEbH4IaJZ1g+Typ9aEoU2MFybjyCiZ5RMV5QWcW6Fs8x4cWB
gulMpRkLz7oK4o0Exq+myjtOc3+yexKQI1HIIK+9vQ8RLyIkScPXU2KmNxRIfHJpg1+Avb1riVWa
JaRDYpap3j1x6LivVf5SEsS0JF81gpkxAc1RJTXDCQhVQngzM3HGEebkIjkUKt0ZEfNsAn3Tq9xn
1/XP4LOZfZIh6YmGFkREkZaOmiAzWg3a3iJEqhMmbZktS8KlA14kMF03o99u22y+tiqFquxyYPmO
Y8kl60kqkwisMnx9TQe89pW9bwm0NlZ5iAi4sq197Am82gRfqU/OAEIEm94m8UI0NiUia6is7Exo
NjDrm4kQba7StA2x2qhIj7QQvY7Ebf0sFAvGzmB5K3DdRHKtPt7kRHTJiR9jIrv/7k2+zlSUuPfX
e5NF17Yf/1uwUr/0+7bE+IW4NRyxP3w4v29LTH6kYNv8IxxaE34/TNGcaAB3ZdjxR2nCN8HK/4XC
BBeyHZb532Suf7Iv+WpQ/2FfAqoWAQy1ykRTwzP8476kL0ccOWEkLs1o6ct57PfDZDFOSYRY1E61
QZZiAWinJyKNAg+E9bkW3k3rT+nK1kl8JWNgbds6OrYDXV5gnk9aQg0jScluNTb9GSmpWVl+jYpQ
dFgI8pcoDteTzO5A7W3zqT3gHrqrSpwkSUWUmht9gzvYvMmpWcF/4OIj8fEQYOXfzUPwibqGJzuM
QP4XM4n6UV7sUFwMalV9sN5uVu1Te2b30weUyGF8XPYR6Md0Xpte+cUqo7tuCO1DDiSlnOp3L54o
VZgfR9xsCDtMegQ9JQvHkv/D3pn0Ro5k2fqvPPSeBZLGEXj9FnSnT5JrliKkDSEpJM6kkcb51/fH
qMqsyMjKrFdA96LRvUkgUpM7nTS7du8536mQRUYbfap7ZtnJ02j0L/kENI2s4oOJuiCQJBCALBJE
cbOsYjUWV3nZnLD3YxFt288GcUswAbXdLIV3nZat3Ixxc53ZgzxNZZfv+jSKIbcxLciTlkRHnMRX
yql1/Pw9MITGWj49AlCuBou0p5SLi8EuuTUjyIWJaj8w+vnnrC6ONnrTANnADMlAedeKnjrSlpFP
DbN50NIV2+QlY4gsxpICWMzZp8NE8dIOnB4nN77VY2HsF4kOoolp9ZWVAPgyjvASSwEdaS6ygxBT
QQxCCgg8QV0pFguN6mRzC9RY1om1Yl2f4e1YBPRgqI92KA6LkNQac9/VogwrkV1iJL5AgnGdVyAR
55hItNL7xLLmBBmyF3hKsE1nkJ6hEbnznniAItSzxONCGNgc2sbfd5kTB9nU9nvfZF8ukeZs9dRI
76rR9fa9XLPewJgegMJEUCyh5SohtFtSfaygXHinzeQwc3B0Z+fFGuTieWRaT3JWqJU9E2oSak62
UuMe0ubDbKobhCtVmGjeHKA6fqsLDJhp4tjBDNHyJH0lEIbNQJeX9RKlZvUyKjt7rBKELYpt+TD3
FdzMCXUAOHrjGn07QluJ2iLlugcCpOHBG6nMkhFB+RZY07ecUjHQMzcKByJ0DnpH/Wcj5ogqHw2P
A20PXEcAVaVE1cnWrNEj3raU+WAwM7zcxnSbTf2dM5YIx0wyzzeFWVyhxOoOdk7qXrW8QdlIdp1k
CyzoN55TA3S9WGEVbeMcnZkiwtHcAbFGZd2ZWv8EtL7TtnrXT9E+MSfDCNJevo+8KpgA6O2SrEB6
lDRIsOYHgzg0lC0xKZmDf6poL4TjOBuBD5+96DksSxdBSVegb64qDXSAfkiFeBxW4Drq0wf6Gic3
q25GV8EQdsFmvUSuedGjy/mKruRjhOA+rSj3aoW6eyN49/476N1fNX0r/D3O9UuTv5bI5GIYrM+G
JtHGWIqzPupGMPju07Ki5NNsQSmhym/KVbSNy/JYw51n7nzZ22m5qVexcrXC6fPUGIJpSIgpmWtU
1SkQe7Qex2rF2rtKoHpZUfcGxrwe5GsBA1+v+2eo/ayC9N+3Lpz8FF7+lGObVzkMxEGR+GbQRDWg
60NMasNhBe67K3q/gMGvvPFLj7ljyyDvxp9cL6hXWL9nE0s4rAD/fkX5S5j+faYfCm+oMGFEu2zF
/jNkWyXpzDi1yd92U/uh1pAAe0i3UWI6z2DnSzusyRIgKO+9Jlug6u2vCDWQR5M6kLXLGycfeIr1
dOBNF7uEc1ZQGsu2cNyrhOyCZA0xMEkzyH3okENtHLTGYTTImQEeSKCl423Vl5eFqQQe6uKtg7bi
kpVgkJmgwUeLx2TLZ7qZCoN/268JDf6NSvtPlboQ+EckdfV87EorCXuXzpeV30ZlpLEX9ESozhdJ
V9yWvrY10uShyOMwcaqD2xekzJbpQ5F2m950iFGIFNXfvBwiz7hkGMl8FeGmb5KFp39EPbJ59jFt
3ivPVN5NWqJZip3qTk/bNvzf2uh7bWT9qd7kfq2N2t8XR+tP/VAckTZioGD+3mExmbT+WhwBj8IS
hdrj10SpXzrNpIrQFPY9gkB8JnDriPeX4ogRoMBzpWN6MqAluv9S4Agju5+bNi4yGJPzjmUyK3f1
dRL8g0dxAHmM3M6fr/GvqJ2uFVWoLB1abS4wMl1gGZnQ+Q02gAE7quR5HPt78Pt728upydsFiEqi
25dTNTXsvEC6e2WdLN0nhGgWamcanX/l1GN9mIZG3poWDR/H6rQLTk32XmX1V38xso1m6+9VY4Fc
T5bbMqVgiMYa5bIc8FvF7vXCCX9T1QP4benm8MpH2HUeB4AeOd+GNfiWwI/iOJTsMQRyhDqBbQfN
RQoIdV0djbyvPJoDlU0Rk99Zhvcx5s09Qn7aR2tWk+5ox4yU01PsQ0daOl9eA/d9Ydp15zf8lsjI
z4iDxi0juq2aqmIbjf5Zx2GAC6MIpni41XN4GL189LPmIk3Ui64BciKLZZMuo4kSI7u0GEQRpmWf
F+l9W/wCKBJI+g0VEJCUut7AziKRoEdZl9CQ8rHX5InA2OPVuwgJiqs1LGjya5ZywHLX0g12URuO
9vy2pOaVsT7WI/ahNInR3WSi8W7U9+dfW5cCmfD3Ih1rTtPWTApbOh/13kSyqvvj3tS7i97wd8Aw
PhbPS0PbHfD128gNW9ZmpWa8db2S9DoyOCLeKOlb+3UwmtYXmEHnXgNa3FgyHCYTz8v8EblOiDeq
25hR/IqCCVdNXLNP2NW2sxYImnpXnL3CvIna2QlcB2WmzCQJ2surB+c/MAgb3yRF7WxaxpBr7vKR
LJunLKtve71knOFIukBFtluaHeqVdX5Y7XvDYcQRf+mYUAKFURdx2xXbQQPq7zncrp4CT0jASbd1
50U/uEWVhnWpQFvFURemjf9EW/wmJ9sEL41zEY1eu50bAA+dnb4iBY433VC/uhOJuGpCtqm0iMW3
q63tiG4TXTdW8hKdfaAbiySVOrbAYcb3bsQav3DKOJhlee4iMFl9hRcxglMET5IeAolDF4U23jpG
8ly5IkKmUnqhDfCrdMwDoR1YEGMfuSrhZoVmEkaeGGB5cH050ugCJqYJG+J0XU/akZBa/DRj/o5o
60tWijc5jzfZKt0hO/CDRQpHXwxrevSuaDXpYUaeCxrlarj0Z3UjpPgGv41hsUwOopjfxsy/mszq
HkxItint5bnAN8NQwI536KEzhNo4hQjpeVZ1c2vGQIezLP/IlgFerxntl35E81RoDogphUEgxjWQ
xPRvKMNDTeZfKqgcTKMA5wzWa6tnLxWyJD7+GkpGzaQ3rcW5r72nrNUgIQ0nzy/1UJ/s0EmIOiBR
jRztHhYpNVvma89dA3WHkKK6LYuACguISOx+7RaTNlAs/MMgXX+rSr88jEBcg0b51rWZ1x4AYcKl
v/1P3BZ/3N9sqsM/6xZsXov0s8a7+Pr7n/plRyQKlo3LwuFhcsAH2/vDjkhKrI6+ieErMki2zb+3
C2gk4AmHAowD/W/BXb/siCbBjPxCDviMKL+bff6FdoHx8+iVCQtbL4kGaG8w1f+swOwWgQGy7yds
CcIPBx4tFPQiY9fBvzrc4mmZT9k0VHmo66T/8fQPqLAU2x+cnubLD1fvH+iwjN/PVLgWyHrYpVGf
EkTx2+3ZqmaZ+0kPvpR89CsO+Zy2erd26BoOXe0HA8nwz+4gUS23+GlZuLI2p9hflGuRO+pW3/wO
CCm/I+mhphfG40KahLGfHTv6MGYNGtCfv2KTqfpPUyDHchi8+GsPR/fMnxgeVgp1yoHLfiUmO463
zrQUjwNzeLHr3Lm2g4GxQwZkKfKgtznr0TLXxZ5cwtnYtkPdfUsmpUCDE9W6VR1mO1byRB8CtyX5
EfBqltzkvX8qlZ8gb2VG/aQSOqLFaE9hqrBkpm0y/DPJ3e8/Biwkurvqq7g3xPc3/UOV5M5aPGqy
UFcVmKenmpGtiVLI5NaQVT/djFPr38vIKL7++cVci68fO1fAq2lducJHArD+Z31ZP/xZW59iS6q4
uqrILAMPlPRXFf3k1IuSpz//SzTifveXgJuiefCYJxMk+tu/BIdnXgjfra88qVuvzVi3xT4ix8IM
cpnAK+7Xlog+Y3XJhD2W/+ym+bkK5V0yoFwHh7TnWB1++vP0xKlaqjK9cpvcfi2z3n4FzcZrgDOp
Qqet62DW+eixyDSjyYGydj+6wlfH0Z+ty8kRrb4RY1bnuE+q8lG0knzTxJvnD6kNdFC0pXQ3tl9b
7cFG4tD/dW79h4pM4/cflOeuywYkVtPiWWVN+/GD0p3eRhkWaWfm7+UrJEUO3Ab6Xk7hguoHdBMx
vm+x58vLaWnAIdbWlG5MY3A/O7oFK+k0djcWUZ4f0MTdbwMCYPefAFXgzvz8IdM04Sai58raytO5
is9/uJ2c1kspjDtxzqxGRr63Or+X/dRNwt91Q99v2qnRb4dyRr0N15BAUqPawzQHYWVJc5MXTXkn
C7tEJ1FQZo0ZPXrCAlaeVSMfibjwthGmYnbkLEuDtBMZU9lMVVej1BSagUWEBMJgRdaWqMK7gev6
YDtMas0svonn1eKHZ7+56qLmoTNL9BbOAFiOtAyTtQFC3kJYAoV0kdjec6T31ilxOPou8TQw6YRq
SVOjmNOj5q0mrRFoyRZArIb7fHrHQd7d96hCyJ0psTVFOMoxy0HebhJjzPeRqxlpsCR59Ib6sR3g
ojXaS18ClJNSmUf6S0wmGr/4lg6SJpUUZX6f+tFEPndjxac2anuSHxryP8lZu0aOPoXW2DZgD2k2
hAWZDXRFxthrNlDUIqZwot320r9OIi3G6Wl8p/1JVMaVTr+QnKTi61Tqa569L+9t0dn73s80c6ec
khrZIa5V6VO27Ji4xwwsJ/3VVMX4qRhP2xvqHVoaQAKGGAMnJF2anWM4x0Pv7UgYhKPeifLAsASY
nmNxIHAGEEIBQTGZhjkUsgOTswnUa1eQz0RoVwlaFmWz1c/67Yiyinl8q6+1ntV0O9GNvtpPwgVf
kS9LEd32Y9NhhUUiPVftt4S2jLk8q1Gb3BIXUMtSXr8zu8k6ess9SVJSv+ryrsynk582y37Aqx4d
sZhSiGbYE+51VxPHbEY7T2qvTw4tVi5ihpaEcNVtRUQrASlFjrIOkWZMVnvRGdE1Qk+wkYd8xs25
nafCBzCnOsEdBTzdUOMG5KK2c7Qki64HHh2HIBnA5NxwIlflrirSFuVNw+YVhROIzA3yU3LvgpnJ
lkWiNB01Ui76MdqNhVuUoQKrQI5RRUT3xltsVszKzOEdlEmLQIDBdqxuFFbbMqzj1PvU+sFN9a1e
m0SWW17vXdlaFEdI+N3Opa6tJtUs80HprG6E2DEQYLyrBg48jJOhR8yFU84HHVWn3NjmXBDjOdlz
sW/TJtU2q8fkCxjExdgK0A4gAPJS167pmmkAArqq4mxAGXwUxLwVYU5O3R30ByF2GYnIxkUygo3E
8J6YSbePsERU92zG4pTFi0lfX/IKQsRdMTHDxrQQcZ6tCV6lN3NrazwqsGUNoz+16NiLbRyJmN5v
NfBxpq6iPqmWTCwfRS58Z+vxAsotkjZciIaeWocYAiNg6TxvxDatU0i+fcSgRBtb6d9k0bgq+NMm
W5h8Zot2oUeFtTNkFNu8XN+VJOAlS32kQz3GkEusZAzW7wsMHyort08sms00ptDvO3yYLy2Cbajq
Kc8Rh+ilSheMrYOliYe5GM3+ypH+TKS933Rnu6/YkmJFyIkW+CVCbHD8iVE9I1+rklPDyGfaqZGD
xAWKte7Bykz71Z5o7SFY4OZF5zC5WDwdwrQD2vEojQvR5GrjjVFIk795LsaRyiKLs+Fe2c74JttE
HAZ3jCO8HigFg8qL+D12gQxmV7WDcbVMUli3qrONB87MfMfoaMrbdOARpnAwiVODRMoc/li5sTKv
U4QZ0BWa9ebMskbt3UIl6maasblt9Gbks0nGihdWKxbdC3Yw/wk1Onc32uG8pXHgk6fSKT8ybzJE
dfmd6VW+BZI1G3u8I91afCbzdGPnmjOF9Vjyp5ljLTSYzbJb9nrurm9+fekj6xOvS5bGlWVXvIu+
sblUML9xtfg5cI8NntA8va1al0e+7akKYr7Gmmp2VXLdGPB/qkDIROfjBj/bn0stkQww9L6ZdtMq
7gznoUFVzb9Vs+EdsYBMyAmpk7uqfIpM4Z+8IU29wEsYHmymOXZeicXhZUxtNt+hRNFpI1DmZtCf
0Sbce+wWe1XpxlXjxw1ZUNgdiY9NUvNUe7HfX0RJHZMi07rNSIE7i700uawb3W3m97zI7ZupR7F3
aPR5QPfklLFiuqSBjKQjxBqSNgXxRg7kgjA1cUvtpFP6X0iOLnfo/5B6u9YqIG7H5C6tO3Xhl3nG
kMrkUM+yBxUwGBLTf2ozbYjDwqx4TBaA7v7Rqmqj+ShZkOeTZ3BLheO6YoeZrXFFJySJ6G7ssbkw
WrrLm8gneISdFl8npXeTvbT+4D9oM2U69B/8V986tUZylbB9h2M60kkKp5L23cYaYwdcPB8LmKPc
d3ZLPQzdmbTc4j4bVBN4rjpY5cRsbhkdPpxcN9Syl9BZ63PlTNal1ukW8ZpNVQ4XiD1ksvFgBiUP
VCLqm+5XLCMsnYzH8kSNKvCRVTXsAnNzX8SNkX416kV48LepwOZH2QnN55epqA0TXLHxSYvk+JbE
ujYQ9aGc/Ihv1CCngm7OvkXwnobp0nOTpkAUxM2UF4t9xVwKgXgjB905W9iQJ+j52ajCMZF8aqNX
pcB/Fhfxq6fI2GPgNLXboTC9dr94DXd/bk2xu50ZbSJDk8ppvtC4Mx6ypOVeY6ej94RPX91UfmWw
wJrSz3ZemTgjIS3PJv4IsCZ5PriPtlk143a04846WxGTkbsmUj7h7cByylCmYu2I6dM8Xaaiy+tL
t5WJuDEnvXDWyESf9zWBFz7nrQYNmjRp1gyqsb47F2sWdND6ebxTiZcn23HS9ePcWDz3M8EwJJ1E
iXv+fvD4z5Z8ntP3tlb1Z/d/19/8XjO5Bl/RfT/o//1f+4/66rX8UD9/029+Rv2/71+OP+rta/f6
m3+E30Ekt/1HO999KEIIf2kkrN/5//vFv+FMHmb58e//9vqNtB2Koa5N37tVM/Ez6oSTxB+LLy5f
849//DO/NFO++1mZD9CyxtT63Zn663gBP6uPfQsKm0As+UMzRfhr2BKHPdPli/RheBG/NFO8v/BJ
gjIB/bZiUv41PAptmJ+OHLYLssXn/+sGIwsOlr89chBUjtK9qezrfCjiC1z2TXQ/TXlF+qSJs3+0
kBLMrrVWXvaWnmBxtFp73Ni9Zh/yiPNFOZslQwfdz+lwejo8HlhAFvURBGQIbeCciPKGlgD44aSB
Djy7q4B9KvQdSyvqClQI/uJ92Kw8tB7GeEtg5UIKN8kw1TReZFWx0zwoumim+7tuUEdzmJyXYvKr
QGWJH45Gti9Yrxch96MZ3zXwtLa6My9bZs/MJMr20HE293E6ulF/mwrvemm8I8FU9yk0Ia1WX7XY
kxdVVF80iX8ES5QeDX/8WiBa8LQE0an9SDmIFt7zE5oKQmKkiZ8xshyFJ8NMj56FX7z2CK8DNrMI
l/nADpSkvGZWe4oQAkVbuVbs/kUjEpaa1iS1vLhqChBwbhafm5LWatJdd0v12XGhCX2raUgT/DhH
EgF47iInZXrOiZAud4A7mhDzpaJ6WgWxEia5cOfTEmlfvTa5nUeL7I8uI/kPuETjqiX0GQ/UHqwN
MjmI2GPag3npOZ/jPRademOLdtlBb18gpCTvil7PBrKzva3wqjpaeiqgsO1Lyi/gxSa9dHZAhhk0
4xMrFO1n78z6wckdP4zihuk3kR/AIz+1CXA2SNzrpugbtJMpI2K3efBaT7vU/OKQ2y0peurgD5zm
rIHORSdpAsQVGb16PL/M4M692PrmYmwKsyHzN+wbzwyoTnZsga1ebhtwBUNrPI9gmBEIJZ+IOOZd
PeZ+KFUGAHk+5Gryg9Yy1Cbrx4/JYyZCViSjCxnvMrN/n8lSDJgN7twhJ9PC4OtZK9udSfblG+A/
83IirnJN6iMPvfMMqmX2BWvP+3cO5bwGAEd2Soz6ABWP9CXPBXUNo4FPynRxdjcRP5yvV5zKFURB
1OFXhWflazh9iW9iigKeLDnMg3698DDczl7m7nPNG2/lOliZRvMkRCY2FpAu0fAzSyq16yxmtuZO
ek1NMKy+j4Y80tyYiXcX6XQsXc0O7KZOT543LXt3sMewTlOY5tirA30YdmNXvnukVzQDyhAWqbPo
QUej+bqdFUZuVWRXjQNjyzS+4ACc71v26ucKSRZ8M3ZBgWDUiFoZeh03ZOuIPKw4mA0WzYYJIzou
Np5ZGsLcNyaDcrfSGQiO9ElLywpRo/gAMOZzjus49ysz6OltBX3h6IGZqre21/YGFuFgEO2ReYMI
6KWcNGBRJyMuvG295nhR17YvptuQLFt5IyAQHM5W2nSrELpA2NNKKPNFybBw0d8bw/zKeSra+Qgb
SEIYvT0BpKxKeWHv65LUb4VmbD/kDWGT5vr5Rk4ZLFaENjPZU/VfpTxRm3HpQc+1t8nIu9Y1e2fE
OKOpIdOSAVXtkxuTLS1SS9/bTCsJUYDbFx0+e4kzrsuSeVdW5W1ip9a2zRDY1559gSqWE6/U96md
P+tDu+81db/kONCLomXWCI+GkuOs+pZU7r5cEzkgZkp5cHr1GQuaBTabxxYXEA9sXgTm2ZvKh1Jl
xSVhxjcVVzSordQPyxoNc8wkD/fil9mpdqMlL/rI+5g4UQZABk5dDkw8Nqa961j3/yV1xH+/CkFQ
NfxxhXD/+t5S8VT/0Dqy1huvqvv3f9NoTQK3gLr6657/w9DF+IvnMOf4tRr4degiVq3BOosBSkC7
AGjGj3WCTskBsgFMN3ZjNv5faqW/jTUos/6wf2pav5sauAB/11cHzxU9wvfW5Q+tSZENlSI/iKxB
NnnSpVO5A0eRhZI9tnSnbqe0HC3aZFvDM33HC8m6u3cwkQRWg7YmoreyjSrPuItjJyRzvkQYU7lg
EVIaBN3yakfmckVXCXVVwyidEIZAgm4Eduicq5XmOA+i2UlEClf0p8MsTp66hCcZMwNYGe+EzO9k
tcZnPs1PI7BI18rZdwA6GubBT8Ez+RmdLdSEElsBvgnMesXqjVAbzoRs6yApM9d65HD+kg/ax7gy
K1ccHJ0IRAGE7n1rVh15rmtXnT6Q5kdbIhjzsULO5bytic/EHsLGLFw4scPKy+zn+ilZAZqANOkG
Qvz5ztZcKZsxz3h8jtOjI8VdoxyCcKKPZU32qW4cg6pfgOqs1pPZlH0pwfxEaA0wGj8MK9tTzz5n
xg7bFOgnjdQZczaZWQNAUKysYJl7GKF9kRQ0FgvoWr5otrje7su4s7edC11UrZxRUSRtqK/s0aWG
AVWuPFIVZX6odataFlhpnlgcH1FJ9L2W3ZGnZG4nen1BNlvYklMAdXatiXO7MlDdGuFCTpzBadFI
dwcAFlgrM7Vf4anwz7etYNOz+sw+9BHC3acKWW18NtVSfsmUrdHHKxswGcWwbCbBoWqY0hHlv/fJ
GOkwJdgVOogjolSdy4Se/sZLu86Dy6J2ta1vFP4htYxox0jewISYThsF5Ync4rnaSWusz+Vipo8e
fo+2S6cDY4KXHJHqBiVsej3SB0LK0rPrz96DX41HgYCGvPGeaAijOLSG8aj1CEx7fRThRJ74nujz
+K60VqGHgh+uKji9eIECgXRuImLsgTvAJbvNpappiumGHpYKOSTKB7hbb4ri8cJl8yPGJPmQRjJt
Fou9OwW2pnl11AUQY7j0trFx/a4/tH3UHszWKe4bpymuh9qtHnITs4NEgIbuTj7UXrftOkcLln7p
ghjn9uRQR/WRRjqW6IkKrmfid/xoo4l22pR57Yd2ivsDOLkHMysiyn7WX6dIbppkfAIDC/Gk0hGd
xmDfYgJB0ZBa2hFb4fhCOYNtbGmibep11X6Sdf6eYz8/FLSVA6rrUz4mSPeWDvtOB+942y7YMOH6
tGtvOrpMYgFyZJjRGrs+ND0I9W6d8mRSedIW8hB0mJU6a97CvmzkpFTR6w7/dz/6LolbQx/+eD8K
i/+zrdvXb//Aybj+4C/bEVRPBmY+AHHmjdgCmPf9emw1/sKERCeLgy4Xc0H2nL+r4mjYWx5pHbTV
aMj/Zjui+0nZaxvw49my/qW4X7a2n4+tHr8H1pOOk9G1+L2/PbY2cYQD2xjUNY2op7GaVzZ4s9VI
iORApdobBljxoSqd+qttIXKChEQIj6sRhlYi2VfaUJ2WGKk/8/p2Qybjl1zlLiWZN28ke/VusTiX
lmur2WZwtOmsvqaU9xFnoc2+zLIF6WHlBGLykpMj3UdfVcc4Saqds7RF4Nr1ifTj+MCo8Mh68yUC
lIb6Tt639aqk0VL/YOjxe2UND5PQL5B+X8EsQHwWR0YAFcIgaxX7nRwJ0SFca25YnOvFx2lWPEfs
dJ0jFSOA/l4nn2oXN4xX+pHiGT38m9Pm2qHrJiLlGDfs/Hr6cGrnA11GtkURjjyuGc7+JL6S31Cd
EIfVAaKNV4Z9txCMkHFl8t2vymuOZ4EnBnejJYSKPE3ZHON3NPa5EdV7WzqvjCp2cY0QlhAs8pTL
D6cg+xtsk1EXcm9pyTe3He9GJ48PUFGJ2CI6PcxhNmyzVHPCXpuuXfDFYFDNpzTyzoOIGNqbRo2i
HR4zWWjI8qt8XwwsyE73QoObDp/o1L4HS7ws1oj6cX5CZDZ6N5Ma40tJ4BDyZc9q/UsYP59Ln9jY
LIcsVFnPRGhaW2RLMe3LNCWnKyX2QTZzcity85GVNA0kY6uD6SWY53PxvOjuGgri+/1D7xTxVYdu
7bToZUu7UssP0q7hGup3Ro1qQiAgDDBWKkqE9CkdbUmbvfcCAV1ii0ISprUjwWHVHJA0rb6Js4gV
UcV709EfGG2uXZL2W99PB/qAJ6uvuMRzuY2y6Yu0028uzCrWclyeRtPg7UCD6Gr9qwVzc5NZ4pkg
tBfyFyG0xO4eSGaNnjA7mHp837ikGE/9stNMGJzNwmpf5dspA6BZ5JcgWBiJI05hFA9IsPrUV88l
U0iH5XpG4J3TowGY8m442lcbiPicTHdF0l3Og/Zga8lLVxQfSZv7QdNrF83UXukiepyq7GIeEXg1
kfkUl+SOJW30wCj2osu4QtKMrR2BwMi3yZGpTOs5csdHVLbgpGNUbJPmtwGjtzeA4ndjm13F64E8
8mM608NqS7wTM++ljNLbVhlHpEIby/NOMYrD3hkvpGa/xXP35NG1iisb84oN3mw5CA5TUidRK1fz
V7v3vD2JqmWQ46LfsMyBomqAHzBMQk7KOHE1P39tVXkS/nDOBdAXfXkC9+pxPSIBPns8ytZeRQKr
L0Yr7jCPvDF1RmmeF3hFHW+/9qdD5OBeiAhxpY8zJKDBe1gsErnQnmYMfeRmUsbOM3HHrCsuqxQ+
zdwabupeHzhsd/qux/4a6zNUFb056FwC1qRbMTvnrPffKTq5t1zn0XRgy1kNlV2P2WGYZbKt1yWu
TZbtEOv3pl8RB0UlbEpVBgqnkk8341AOYMAKCKhx2TnUI9OXfonvDd16c0sE7bHpnfMhIRc81rRd
poo7jhyEm8e5wbjGfTOZBYZGVXiB5chwFkztytS0AlbSXY6gvu2W6D5rSIWCtvBQpQMCZMNN32Wi
ITsewK8o1og0/QKh7Lql1iOM7xOXMoGQFeb0ROo4h9bKMP1eJTKIKL+U32vHxYxJFnRg1FqGfWF7
7YM/Ux23pWsGKDZeoPDQBrIGEXT58jUaGEe7gyIvV2s2S9/eWGlxlcTGtbCjl0n1n0bfM6uq2lMB
Sj6PLZIFO/u2z5czSBmEnHpLgCwx2h55ZbrWYk3rK32VdpLatfQPYsJGEuknJn9PEISwcnHa49Us
X2ENn1UzP5U2PZ0xu+F+4CJM/WOZMx60Ez3oVs/ToCOQdYce7zcpYWK+MoD6oiC4sPTpsTKRo1r2
jcMxSvpWRagnT7WVkPRagMWYbYtNzklNPCW0KSodOSVr7HZM5aFqqkObdQsmUMWy46AGcQTJ9AaM
dceIir0js+OyePpRy5n2ZU6ybdMaOfHcmUfcLCkx5RnJbkLCitLbNBgxcAXxlO6w42V/Fer8Z08b
/vt1CVZn5R9XZdftaxX/g0nC+lO/lmTksxg4QyCL/Zz3AnYMLSbLLx0EUoAc1E2/lGQCCwMtfs8G
D/NXmvqvkwTxF+wJGBiYPAh7NRn8Kx0CQ/zcIXDpZAvkp5RlyMSMnyVijYMNbXT16AwyGhPcUuQ0
bIECX2iIli4qVwG91fS5f7Gy5ET8x7MXU9VIN3sXqINJ/7NH9+AkhOWGjdCzI+EvMpyyNIs3AGLq
p7gdyEUwfB3pFnnGICMB4DFOl6J9Jc0i/eh6PWKfqOy1IUY7uQK6WRF4u0v6NCNdA+CKvylaC7By
m/nOaXY5dvo5nISop27MU4lJKbPpCk54JzUvxpyA1jyw04gkVtP/ho2H4m2mGaGJzN8VQ0z248wq
hHfyVPQGeIX6guza87KMt4ZYLpPBP0RCu7SwSBpxcpyIx9vYDhUio08bhQqNBBNyzKW0nL0utZts
IFBZRt5Fx/a9cWKvoj2hoOOqut2Y2piHs5NlQSu1bOs2/fXUqWstnzziQPBmzMSBLhAqQrRqDidq
ljq5ScXcfuaiu08L/V53jNImMrCrbrSGlU1YVLmN3MXSSb7CdN+4qAwihDPnwSriQNS01BXASFMC
djBrL+ipH/1ZlPeaY4876dFudZvF3LYt4PyGtysLByEBRK4I8ejWNJABDPEYHVKYIfTZCbvEj4o3
cNU1jRulzzgJfRZeabLEp+jzFrEjLwjVaS+tRwX7zE3oL7Rz4e30Ik5BqtOTIRs5WKQrn21sVDQj
NDIrg8qM1UbNbbb/4VH8WzPsT1iL/8HemSzHbW3b9lfuD8CBcgNoXgBZJzNZVx0ERUmo6xpf/wak
q2Oalsk48bo+LR/LFJhIYO+91ppzTB0AC+AoA8UsCkJ0z+8Es7EcDnJiM09Q5ZCuF6KTl3DiPsHa
wM36b1X6oypdGor/vP7dRN/q3wVNLD/1a/0DriPLQMGA5bDSvYfrkDdFqJWmACTAs/7n+mcTNMFG
y2hgmXIaNn/hr0kqHi4mZctXCxyUuuK/Cpr4TYcU6s8CLiYKQyYNT3v3mMxamIVqEclnZq0Rbs6Z
MFjluQgQRFAdkWdTi/xIFDGGrMFWjzT8GUyp5lko+bnjHSS/4BpM/TMx9C7s2HHTJOFjXhubqoRj
nlsXJRInpzGfGDaD6wKRP5vJoTVMElkb6Pdq0N2VY34by8TqdjakvwoGPObk8smPI08Y6sHA2Zwp
1ctMSLwSz4+qzlkoG9t9aOQrm5rATeZo23QV7PB8fqSW2A68fcTOtJejGT7B+7ibreKIhepRFypn
Z0P9Lg05mJDuPgFe4+idsa5taT2b82VkJyaDnXKDVKIDdEPcadRSM/sWvVB/oDDmkCRNlhPk+sas
pHXd9HihM+seCTGjSjgmu7lLFNSA+iGmMGFwKW0JKtfpPtb+tsM6iUx3h0qXXUBcD2V3PbVZfZca
00takmkvaEUFofyAH45SEQpXKY8XZAkbrJemtDLifNtS3LCedAddb3bCRsdc+cZ+Ur42ef4c+N3d
ZBmMYfWEmtCi9SU3i+RQuyBY9Ztmlj2tBeXuB5NtkPUepyjBDg37wjT0AhvMtI2baWMxcyrxsnUN
9ywIUvxIEycxxk+Q1uoTqix2TB9bzAYjkzEe2mKZ8+ml3O4KywpWrWkTV0s1ETtVIdfmSo2IkVg1
jdbaL3Dgh13cGmqLhFAmf3rUwCe4mVqgCkl1OHJhVdGKtC+yrqpWcqG95mFdOZLPLFejTHdUFayx
NsjeMDevwqdStvFpL6Br5s+xN+XAeU0FNntgJNfmXE4HUzNPUgjZoFVL/g5ZOIUUPqaj/pRb4wD4
ur8puyQkQ4jsaPgiX+Oy+a5O47e5rSe0Qel9gElhmY1fyP0IpadRDzUA4VU8tNpKN/rLUcWwptnJ
Vg/rJ6R1iFjJqyBi0nriXJo47JgxzLzhK+bZhWE1cAjOiHHJI8R1cmyT4RJIp+Ap7b08ALtMIpU+
Er2Z8bzkZHcn80Hk+SYuyqtei8NVmIx35eKrEkWwSUPCCABGkHAvHnyc7RuDf2Mpw0MwV1eRn7qT
LjXHoXlCVE5+2iQVBzB/c+TxV42ObCaetMSqCEFgmBSCDq1HWC4D33gcVtdMBoJdEsK2FvlpZp7N
xPS7sHVANHpfy+tqSurXf/eVn/sKy+wH+8pL3r78j/NSf3n57fbCD//aXn7kGEGUxMpn/x9W8j8d
T/kPbLxgUBYDxGIW/nN7Mf5QODwjm4GuYv5kAf/aXrQ/WAKZcGka1iC6ofp/c7x+f7g2bAP/hYqJ
SkVmQpzoX/udWgjUoJ0y/RRmz3NzGsenN7flN2ccXVm2p7dWFj4Ex3Y2VpweNkbjdw6Pzm90At7H
7oToenGGfp9K/ZT6DH7q9jtyQpqjNTnwOm1WRcp3qmlvUR1ijwdcKyRRbIpB2+RmvZUa+TbuwrXe
lF+llJOcuvAMGDo0TJdRhKdnpVeM5Kj1baWdkdSBhluiNwJuomuEjNnWWjHNjTPIxm4EQP4dFyQj
dbR23sRUxdOp3L9WKorThOnMSm9UshzlQHqMUynz7ER/7cIxW7eKGbBz4T1CzfOjp3g2S1b91Kof
4WZqK/q8dE50HfflOChQV4p2rdSw1BGtHqDFPyeqejRUFfpuNh2HAMdkmhfbPG9n+MDVrW+kYL2i
C4gaGh2H/FmSOdYq+vgdDt25HZGSNESXrDvd8oKyvTHjjAKo3GkVwydZQt3f7dtSRn7TTVdjYu3j
GTVJMNee0ib7yjRffKUfaAjF2wAJRZdELy1Hc44A+qKH2KZBfJawpoCeI/5DfUK3vbc7E2avcdRz
ktVrtb9ItdkTmYaZGEXXVMGs0e37mDSY7Zykl7WPk7uZIedE8lNZqa07SfFeX6KvU3B04HYIApz1
m0jLSXptRnAIVrSbUnIvjdigtxpTt1SLvkAkz52OGkuuXb4LJq1526+xDO3HuXZtvX/QC80dQuMk
Gqyo7XxOIv06zHw6IX62MfX+Ap3DrpgGyM/xQ9gza83sYUvv9xiq6Q0RuhBV4/SBudA9cJYHtql1
UYs9On7MFfWz0Fsa3q29kbTmqeDD414YN9I0f01SczWZoVv7hqcl45EWDHVMFZSOzs6GYgfshW76
TiDMZ94CopXip8AHozqSrbCWuo7Hpvo+FfHWamPkNeVzV8tPkiTfNATWOAk7JEEPrmykX+bEv0rg
VDiQ/o8JRr8NwImESah5G6LBJ1cxdIMoiB05y77YCmJOqQTWZ82mgWajyfdRJGYmkQqjVXET2/pj
h7uMzi2m/LRc3p54uJEV8tk7Ml6QLVeeQc91UTRdjxZSom7q0gPNPhRUQmtWdlpyLtQjfzU04hS0
kFAiQ9zLHDU9u/KtL3gL+lVI3AoQjVJ0vN91T0JDNknEc0Ini2AnRSCXSyF7BDpSwSUlMmYpIf8x
LUKPBlSNJUiSV+3MsBjzXXJdIGZo0UvJhxJMjRViUWur+sBE4lxiloP1MXKA05ayTa2arWGRnxpE
3VHgHnaapMw3ykxQDqaF1TyiS+n0tMTKUBUqncX0bKYyRvlUaq7mnk/s++WrMU/3ta+9mEm1ZX27
iEmvcW2y2Tj/SEef9M0lo9OgI2eM2FCK7Ib4CwRSiumnD12SXw89KBFVFWedMQUri1vHOpI6pUNp
lB/MigOXqvBLmwtWBHgKlSe1MeFhlb/FILCI09xybo+EdWxCg1SnVH5IiAfVOnk/2LTY8jGh7QHS
soENMli+wH8gUyPrkfmFIY/qzjOyZqQSQ3bLOZr0CkiDGjNRMEeV5YbWnBDfGNUXs5WcNLXcUo9e
KRXEzIUHNGYU0PPAdF8h50bxu1WgiXqXTv2dkMrbTM1cLNtd6jXgmFYT0i+bNafbD7IonnNgD6y/
0veqCWXgRzQnuBwj25J0gUJL68mdErPfwlTvN7meTRuW/vDBr7iC2qW3eUbQOHWzve8ovfdpHKBc
MARCCM3aQb9CW1GYt2jRiPXUY532sNpUJBL5DOuT6lb4062VG/MjjjNAQV3RrI0uUBxzGNctePBN
Kff5ppgq+Fv8oAMxqnusI7oBozVFs5tGeIfgtLRbncxUJxmo0K2Mk29WPIketuVARqg5rbqmOMuT
uU+q6U5Gt9KDGSAhO7zrUvXWwrN0QJHdk/0DX7PwU8aAHea4Upaf0Aponjbq1WOHmd8rC07DSciD
bsIg4hStPapLx9ZXjXFtdWB3406efg6r/1F/89dxJxRsWhBigZDYJNVrylLgvjUGgiWgjxfEOSYs
QtjGeYf35Gqom89snr+/DkUsZSy19N8OAXgdwcGH+SlL04tGqHesSpekezyzXNYY9my+gCnd9mNJ
0keybdSQHpfqWGp+YKU6Gj76Nzu5Cn3wT5W80kKcHTaKvMD/RjINsZ28AvpsnYQcvHx8gPntb07K
IzA7Qn7Egr97e4eMrCui1k6wMtKxC6ZbGQxGWBw/voi9jJX/PCTxPcDJ0zH60lHgHvGg//UqTUcI
X5agYsTt1QCo1HdawcIg+xX7Rt8bK1/qH1EdFle5zTNI3NVgDeArppKFSiP+Lc7WoTR3V6iF7Zuc
Xakr+hMZlchlmL1iE8MOYhTBKUJ1O/pMYAeV90ZkTD4n25gXFc5L0qZMbKB9zqgt/EYRq5CMmFXS
aq8S0GsamAukqKJ4A8ztFhWYEyZ0TAbh202h2NGv+4Yy+WU0DWJf6VWMZnoxzSYWbnzU5F4O8QWd
LuSPI8qoQEHLFNrMC5UouPc7JbutMDeguQmORlYa+B3LdiuUAWQSW5yC9nPCjL8qZfVsyMRVjjOk
N0VLj7780umgxMwd6+KTJaF3MgdlO8X6U7o46HLoq8wmaAhKsjfrHD1GXjPPDMjnHqVsy9DTwM4y
7hmMvSSRGr5OiDdlQXyumYYXajHDommqdaRRo3fqeJ1Rf6EpIy9NzOMBIfRPa8Q/vpW0nn7zPPBC
Lj0kBPT20q5/+9TR2y1y/qw9ITN70eyGPGCIOCchVQ3oivCZxgwj2yZ0FTHS/WAsyIp6wV0h7QaQ
6JaO5UXLyGyY1QujsB41PQ/XDVjYddfJ+i4zVOZyEdhduMQWpbuebVU2dW/Ai+ZZtcR5hIVIzgrg
f0Z1E2QIn5SwKdgNusZpiU8nmAqh/Yx5Q7zY4B5IIS3wDWfqnVAnzs4TVXareKLAflUbsNTqQTzG
ltgNvvpVmCOV9sAygFxb5OOtb8dHE3V4VWg3zId5Qkqnm9Qbo2dEGoc3VWRcZybCv6l9JPsIczV8
3BWZIZwFKxoWHSoxrEIAVeAuy77KziGkF4lnwi1t7UnRpEcl7CuvgvKAGQgI6iyNUMSKlaLXG5mp
gE1iA3FA1NG9R1tKdumtHExClwbUIGzzi/StvdUWErs17hpo+jQ2XitmBDnEG0ba5JHnHpkn5yIc
j2Yu1gN4mNCMGFCiR1Tt6CoppWSHN5nR5LQSKVmkJQeaQgTUJbyMvWRf4Z79HpnSElm4iCHjddt2
tJsanGFB6yqKwMiKKFgjFMyC6rLSg9kdlhNq0oVHSfFXCb0EsiUBikWXBojEICSjKIG6xC6ORHtr
KelTXzbrilkH1jDdUxR2zdQf1i3be15npdeRpeKlibRB/nCYkQaYNu2LQQmWtjqL7oyMJVYsJpTW
JZOLbZC3h2CojvkivmzbFK9pCSZoSs29HjA1/wHjLhbYTRkRbw/DMCyHC6mhSkjxDEBQLDozB+p8
KYyVSSolgJpsXAsE9wSWm/1DKROamckXgtBAVHL6MQ4xf/W+7x86FR1JAwPGNWM/3wz97JWcG7YA
exusS+aWRCoJESFzAwLOVoAzlU+2tk/e1PfdWTW0p9guE+yi7Pt9c5HlI4SOJZPhnNQXDGd+NvL/
cW1YyA/vd4o3K8OSSPd2ZVDRAlFdsDIUxTcFXsB43dvHPHhEfvnxnrTgWP52JaHT915IFDSgl53x
jTJ3aFqGRnTRTrOCQqeMxsaNfPXWaAJMl4XEMzf2h7JkQFIosnJhLf4SEcPPm2NkowN/r9so0ndU
xldkxaFu0Lp7KSrOhWzepBzfqHrctlFvxgDQUt4G66yNnvNYf5AIGroOOtI9jRATcmZ0ByOWaeqR
lqDIxAj5/iZvNfMBEslNOcNdRr/fae0u0tQD6qudgbseQ+uhZtvG+HdI1JyXSXKkEPV8qTxkZb2K
Un83lLCDUqZcrZGRZUxeJ3SDpwpG+oO6gKHURgs+uat/7bf83Ojf3lTx15uaCD2nxWyNJ2t8Ducv
k/UZ6+GTL+3dxiFLKWfkIJlOkXVTxqhntLtPHouPL/CeS5OJLJETFBInQ71EGUto30oOJ/fjiyx3
4f1DLpDWENQtFMMS7x69EXxT2Oh8ChQ0avvaDhlnkjvAop98G+pfn3EDsSGgYRMcMc0vjqY/8B5v
nvGJuOMhmEv1xDHmlU3Nu03XvietoEC4D07uPOyE2x+/XEdueD+uXtLV9IU3utlqu48/sLr02d5/
4jev9Y9f9M0vYveRTbgSy0i77j3ZlVfjTbfB0LG2V8tsea1suM9rxa0dCLkr2yvJFjnlP5u5/7i2
GL/7Ld4+ncvi8+a3SP0mtdSa+/5IN3uF62htX5rOudGd0Ns8GO5ReNnGPoXrcZvfGNtb3ws245Z1
z5k3OG9Q4jvI1T3p2G3hh5xDh6Z14N0XTneS3Wlj7OxdcRi29V22vvn4Br5TCfz9xXp3gpbUJkqB
IfFcOmjU1s23cl3eKl7lxp7vYStb5etsX2wuX4+rbme4FOzxHvH+HhGYy+YDP8L56rv3H/9WP5hH
77/WNzf0/Yg3gmJUk9s7ncKd7YTuvM02/i3qngRitCMcvO3u5KQb61Rt1WcaaauPr7+8J3+//J/v
0bvVhqVGmppyGk/yXKzMYTgAtT31nVx8siktq8pH13m36lgRes5+TqcTZ2qnH17lcTtgXtBWlYwq
sVx//Kl+v4b+51O9LyaljMXfqOLuFJoJld91GVz9/13gXc2H+JbgiIwCKjEOakwf0Da9j6/wyRfz
HsgjZaWVmxMvWlGemixZl+rjjKjz44t8dp/eraKNkjZxb8btaVy+FbxiTGLdjy/x2ed494B1xdx0
eZNNp6Ef3UiQDIjjILv8+CKfPF3mu1VJ+IE00ZxjNxgRZNqoxdL2rAF0MAkojwf11CPf+PiSv/1c
ho0MnTmLjNLprwuhpcFiLKO2O+nZ9yVLTwtp8m0+vsZvv54313j30uB9baQKoMDJiHX691dZ9klX
4bMLvFsSyUAftbio+pPMok0zOtHST27TO/zVr1X3P6+iWDaUNxsGqBVL9VOeY2oDp3KDfb9NLigR
3D1gzlVwhq58+PiuvTOW//2Sy6d+c0kSujQyJUP2qEcawzmr6kXAtZ3hBSDUrncu0X7xB46xylzF
sa4k57pdLbv65VN1qe2p2kFmrqbW2aIe3nz26/12I397dHn/5EQ1KG6fl045Lxu55DQwtHa54jrJ
RvcecmePnurwXf5CcVbfTQcidD9ZvdDXfbwav/vee6kRYWVPnCW83iOkfXZU4diH1LuGyHvEduU9
qWtQo3Rs1/Wm3Fiu9MkK/dmvYC5DwTdfkjR2kp4PZXuSDoUzenQ246+YWj3z0H0bt+UqO5obPPLf
gyfNHTfJOfDib588J3+dO/7tOTHfPScJacx6k/No4vxZVw5k9+VUt0vc23437nbRcmg5IXd/kNdk
aK/LjXmJptnrVuEOefBz+slK+aMw+9se+efrbry7JZZkMxvKWVKqlb4RG4FLcD2v5yPIIOc12Pnr
xLV25Zam3nF0zbuVxekgX7WbZH0Tecsh4f8OB/9KYpdT2D+P7i9e6qgsGtrA75Ecy8+9mdqDfUT5
hYrVhLrNO/Rmaq9RNhBPi7aLJtyfQ3vzDxtKqULP7mfiLrvhr6G9+QciWQUFq8XA3lSJInnnkv3I
NQsS/C+vOHULzzfNeyRhmo1t9sfQ/c37BRM3Uc1ZDc+ZjJf8IlRb43lU5NDaGXWeB+QEDsZ+7irx
LEJgdFtbIrTMGUZpeAJW09zboV7c2HZkzIuLbyjWWm62D43WMeSh0WUC2Y2x70fSPXoZJpbBrDMm
URNXHcWlRU4qo5Rz14vbIJ1eqKBesCCQOzBei8YCVkYmj5pm0VmdGGgpiYCi5tNXqsH2xURXNszX
grrHIitPL0nFQKsaajwWdC2x5YFOnMB+Izu31mne06bLIVEbHe2qoK45XvrbMhPXek9LMBKKl4BN
nHzaFFZN97gnHz6vbkpNfQ4tqAKFT2Z7niMSDdR53liRDSuwZwDGsf06Fuaxt5pHlSNYIvL0mNXk
DoTEu2EwsTy9MckhrgPAC0NpMYlLrvuqvCO9pLzQQJY6c04FXC/8izrDfzLojNXrFDpFq42AWvMg
PeLwRU9XPmqiInNNkemvyfW3uaknAAUEj1hNt+WctpEhEysJzkvTjNcT0x5dp2llqYRNFgBDwph7
UPnK4Aa9ZWyjnH/S+xHUn13c52Hy1WQ8YiHKssr0FV7orSjakG5crB99w9+BdriKygozgMFsALwK
Y2kibwPOOZATGZgLcavXWYwSy/wqivyAjfm6nCwqFdnC/p+bOJb6Isa2OR5y2ngtQHFGC/kmjWik
qiAa3Ra5HKyH+1g0qSeQ062VMVrRxL/JmSq50gDUOZSttV6Z/amzwENwfrNaIBq7NhHZvZUZo1cn
HfNXiAuGFp5yVHpOJcmaF0/dXT3FX/x+iT4L685BLLk2a+tBqNaj6SPlrpWXNOMgCHTRoZF/jQBw
XfnzOU0i4Frq2vYveViLk953x9ROLudJPEfCBveH2mNdj1Hl6HbSIg+fMK/y2ClGfCxUkOkQHxyC
Uh5ASEq0igbCz0gGcqU6WidDcjLK7KzZ9UG3xWXfWPgB+xrViamvJa16Js/DCw31LoOZhwbM3Je9
OE/RoIE270jc8tfoP9iA/OYWQMcXIY0Xtei+qX52iyV5p5jiGPcJ0O/QFMyY7cY1Cr4HP86+pgoh
W+ocYD4cUzgNuTjz4XH6DOFjVQPKUeTsrPrKZUU4dWUnXyTJd63ChusVgnPItOyy7QrrmGvhwcza
/CEUSNOIryciTc7Tg5R2AAZDtAi+LIRrZtnL4PvJqp3SK6XxH1OpmFxNU2sntPWtbc3HNG8vOoUp
eqc/QTh7aTWYYQYXHdSrGMVe6ttkl7TnJiW0S9O3GuyvNbK3i84QupPrVr5G+wxrH+ofCy32kxDl
SasdImzxV8QO+s1+7BUkeXNORo6KBsVGvLpVYuuhy/LUCQpIZIsBjw53KtM7bPjtg7wovHLU1YV2
t4ePopxCXiygp5Fxzk0OJ0Zf8+W05vgwV/iv8WWnh1iPDYLOunI1pFK6VcCKOGWJSQlVrB/ITi/a
cNtKmoTxKeTSUykrayn2k59n7H+3aZ3t8Z+36Zsifcl/YyZefurXJq0qxKJqTD1M5rLvlNsqQHFB
naajafuBBv+Pc8WCGo4DDdUXwWAUeGztv3Zp6w8Z2++iBqc7vSj2/ptdWrGWg/afRz52aejdjPCg
c6mGUE2ZX/3tKVi3srjWO3U6W21QX5rxlF2TJmo+suKqe0j9ydOkQKS12l6+GCac7LD4Qk8x+vne
tIf2BrxhuplnJTogIPbJgWghtkRVuLIq+ZSmoY21Fdc77Pb6Shtbfr4Ho+7h1F9meuW4lSx7P6pE
mjYtQgZGqMkrVjLUqfngL8Qndit4Gs9ZGAb7okK8rS+uUnXx5zcYF12gf/e2WpHHoL1Mfmbuu8XV
33K6OOSL078uBqYdi/sf7tY5WXgAXZQkbN2cNkJgAdoi2SlsraVvGc8tE/04/lZOyqBfAa3zqnkO
vptx+RSOgC5nvycBstzHOJLdEYfuTp3tAY+0qV4GSvAoJ9M+6rR6rZf5lUH43yqSW2nTimDGdN1p
+zCUzVWqpQeFOekuanXbk8NQ3yRproPEVH3GySjBIyNABpfh6vSL/mquyb2H8J06SHdmRzKMVZxg
E1YD+wTyOsHxyN2ROgnuIp4gD6CFcm7QBnrgZctdFTb7To2fEdNDVsAAAz9IkPMVkHkYVHPr+j1f
GMlRtZdKibz2hbKNdcmZJHLRRqPfEJcG1Xbuype+COKLsdW/SQlJaZXMDpkZsuUNpL4mcXAjNPMq
MwONwcu4Ufv0XkXVbB91u8UDoIJvqJTLQrXuZUClDOqjXSnJGzwz4FErFAQl1xEiQfHV68FF0xhE
POXZodGUb4ZRdMzbh5s+JDC6IZkNNiPnsCyTz2ZgY3gvNr1mHOPRvigHeRMqnbqa00BxhS8u0XKv
5yA6Z3PUsopma1tHKzEb04UxlV6ZSHe4KFJvHnUCZ0ESQXV9ztT6izYolWeH1utoovI0pjv2qNAB
FUENtFhJ2xyt3QkueNG4qia6V91C88ewhzhZsjSO9pCXvBVZlBwVgVOAiXFaEF3ma9BZ6vEYQJrb
/ViD/l2M5Q9rpv9NyyinAH9fMS0/9WsxRufMrFATLMW4YlSZVtCbimkB/PC/nxkOrJO/bITWH1Qx
miYb4IRoI5kUOn8uxtiSWT1Z4m37hzr6vyiZmBq9X4zZ0k1Q+oDB+T0VsZRUb0qmoDaHONas9Cwp
1VMQEWo/d+kXZTJ2qZLlTkycLTK2FRHWcMzM9awF5KJUp8HiWfaHjBDUCPtKF0hubXbqOjDkNZaH
myHq1ZVlLlEkwXSUW98TUgHtWGnvI4sUtVRJCbqtUreX6m2aNC+ZQLbSKfpXVAqNW0oZtRDWjNHq
vyadQipQIk+erGkrMfVICYHVreQOBFe9HI/hgbauiVnOBevCebDIp3VeTJcqCdxIBNJDNxroZIL2
kf1g9AC1fi1ksQf8T3Q1bgAn6El4ylhDjHCmeDDty9lWHnqfrOLYgiMXhtLgpGbL/xVx5M4BsLQs
CxAk+DstaNfkFflOtWgK1WG8n8PgojXzQ+mXh5DPhCApolhSVZzXCeZwFApJrl74inrrTymjrRS9
ILI3oh0acEYsDdi7dW2baRMoJ6t8sIxagt00QS5zjb6KgptWjctnuRrup4XLgKj2XC6kBs6+QMir
+pkEpl0EzIHlHExbZ1C1DhPb0MJ8CIE/hEAgtKpZAqOGM8IqsUqSbvZUYw5W80KPCLAVQWvsrjXA
EkYKg4LRMQbTJDkgbWnHFzDQ7DjipZm0YoNEd5N2TYDueciKexyp+Q296TL5FgXz12EMr2dNbldm
V6IlSerQsl4I8zv5PN87uc3l7diqxVmtffusc+bfT+yduo3yYjDFFg8LEt5QZtoIGOekxTNciajI
hg0U+YcBObYZZeGFNhbfqrlXt3IR2AjnhMXO/e8698PWsagY/vnQ+VSkvzlyLj/za5VbjpyyDPdM
sTnvoQh8s8px5FTh18j4oonTWHqib1Y51dDpFf1oAhnLOOHNKqdoy0nVsklOWUhr/8Uqx1Hi/SpH
GI7Qobah7AQ1ar9b5dp6AGyqxkiiW2IFS+hNpl/fkqkQuvECdpqVvLiNeiU9q3D6b5oFAIVMsNt2
s6/w1DOv5ajZEkyqnRb/Ce7mDOSxGX/TZtFjywIwheLqC/R74FALfCpZMFR2EJRuliF0sju/uNWh
VdUy2Coo4l4fhcWZaC1a9AvcCvMf7SMUl6ugB33VKModrPp0m6Zat4nhgZZGt9PgZQUV4Czw4ioZ
BcC00gWrhUUdN4QYtjbELdKhI5oxQLjCBcfVLmAuKUF/AzYC4Lli+TCfWntbwVE5BwNNcATK5D+V
JEGRIY2nOJ9RShETVTQcBvWSsM8l3bEjSor8x6dhyZZqWdntJW3KIHaK5IlVYgbySiWQCo7yoSeg
irt5USyJVfKSXVUIlrg8CZ8NYq1GARwC/eUD+NKH2sjTVblkYPmEYbVLKpa25GNpuQKvLoCLNuME
kQRZXUua1piLvajheQBvhR6yRG61S/hW6A9Yksnj4ouOOWmXN4Xkn3QSuyw8lpqf4j8gy8sn00ta
wr2SJeYLWoa8qhBWacDGndmfT0bBV9pCjiHDneQz7Yuq1Q8z6WFAslEThuE+IVdMLAFjZqm0qDxl
hKmDukO9ik4G/po3kEzGrk7UW6ZvBZllxUh4WcHoDAhE+FQG8xWpzId4CTqTRkD8pCQgoFxi0IRF
dOlZm0ir+yKrKP52ZtskKxM4L/ZBML21QjMvNerGCU3jmwTkMuoslPLSBAkJzi+CQQOLX7rvFwaw
udCAVbDA2sIHTvueBoms4FA0LCBHRkLBhGCtkWb1ujaM3u2tGkVQkLxWKofNKYymVZRNsChw3xPu
hAEwmbnJUePvGKAz1zKgkgy84C6K2q0WlNdpno882fDvLRvwDBELt3mIStnX9a1CAinkVGTepi0y
T/UHd9ZlGCCT/22a1G0EppAkZ+O2bv1nFduPayaaa5r2SW+MdDfADKTh2NGmgdxNpIl+Nlu2tNGq
WyBSkViPtX7TA013/dY4ylQlrp1POEUkY1+nXbRXJpDDeqrsALXyLbUoSLTHhmAMaQjWw0z0nw78
CfNERKmW1ZtmoioIJpqHVfolTI21VZS86rwm5VLVqOi0S8qccal3Esm0vHSpgcKlGvKXuiiOKpyQ
OvbbzvJPfUV0KhyElTrZgHeALDpazwnLL8erifQNIjxK6i96vHR8qcnkqtVpgxb6Zgp8Kraldiur
/IDBFoPNUtc1S4VXxYq00Zeqr6jKKwHKZz1TEEpy8MghSrtUYzSqrH7JTop0myzrci9ptEuXylJQ
YlYAkb83FJ12yGt8ZVKIIlSjJM1/lKf/7p8/988PmzZP3ZffzFWMv7Zs2D51YcmL8QAA3Jv9U/lD
ILDHigA1/Gcp8Gv/tPkTNls6KSr/iYmj/s3+yUaMeZ8/UvT/FkeqLQXM+5YNPSHBjMZEKEdr6a9V
QtrW+GeKUT6TnfPo27mxEYkmHciKLh3bUkr6DiCXu1y3T0s3cl0USzOc5NO6MHJnWMJQefqMY11z
vOaNwHk0iE0/dDepNZYX9Sy5ZS/ruMNelT6RPTUbaJJ0RJ2IYWf71joyS9kro2DTNT7bkQ0pFLTm
3ZDXWz0K89sqCMBPluWrQJ1bdOVdrYBU1BG9OiKoXtPJTojwAORTDcN2LMfRDeYizK9kzdoosa5f
ShoBl2KwV+0g+242SOjdlEXZn1ZU8u2L2QWvfmYNa/ZUeRVMZbUj6AOqWSFdt6mVXi4ZEE4mQvzq
Wr1g0EzT8yOhu4E0I0r3p8twJPa5trWvTSRgElcnqwVaXobJY6Rqt6TXlZ4Uq99K6IsrKo+7us8J
4Wx2HZE8DoeBrV/ZX1mHqcogWDMmuSIaabGNPGV5cIhn+1aJS9MxZmhItSrfwnoBzcSX0NJcdlMC
xVENGi9T12AONZtHorRxI6I+dioQ4oMuX1qpruBtjK4iBkaOlOGm2E8THsMJx7SMc1rGQc1+eugX
S7UWN9fd0hsfDZmpcZ01rokDOxYp2uIy9cw5gYcqSR0KQpLkajDraZNsraLOiAInt95WSbBPcwvw
tIh3hMXbaBbqb2rVy/DWCW+XukQGwG282vReTtWkfk9piAjO9nSCwli1T1BVEarl+C2IxAk8FKsJ
QUVw44KkOIeMKFw5tc6DVLSugL/Icl5gFwWy3yjFvqvVU4nlzO20/8feeSzHbmxL9ItwAt4MXzfa
kmx6O0HQwnsUCoWvfwvUlXQkXb0IjZ+GiiMeQ6JRtXNn5qLgZEjtbmWIumLFgct7Gm3M++LFbZIH
MPHAwGgdb9G0QxaMfN9ivrlFxTrQ79ElKRCgp++NkRDqqgXxt9KuDb/5shOyUMm0E+3kr6vcpf1w
6KyDW7QHQCbHaXAwq1uXysgvbUtM66AI3BVkt0ddRvdOqfX7IQ/IgmrefTfEBNoM8zxqTO4cPvHA
tmU3JXT9plTDUefwavPsJk0pwBXFM9nQNyTQem3kBq7vfjz5rJHoppVcZPTqAmIxfVq2dhwLi9X7
QlQRVMWS3/fO9dZ494mjQhxUjywNMUoZOAf7mc3hMJMnI7uVR7O+Hiv9JAvwIXyvN+4C4a1cVkY1
XF4LOnLATdiF15st4F48Me8syNhPoRhoC9wXhatGwxOEwXJwNAsCuFLOxyCdC9nSSVECN2ujzoRS
DDiYfDDRmv7FhyjMpfregDBsEEzk78flzabiBgZxNwEj5i8cxvMoSc3kOLAnmh5n/aYPrBe1oIxj
OynW6YI3BoiiHZgkuxAY0zl15LcYoj8TmMj+AkduqJxlFF+QydECT567xNmXnr0hjyzCbEEslyU7
HN2kIQyUH3mcHq20Bo6JTw5Hiw+m2YTXnNUL7HVBONNPT9Amnq4zqqfostffQRn+x3/2/12PIw/G
Eff3c+r/FFR/f/zlqP3ly34aVTlnYQQH+JFsbr4/HbXmDza7vo2MhFBnmPzSr0ftt4eB4XEpP2WD
svzSr6MqPWH4DahvxRKB+4AB9x+Mqtgi/nLUwnNlPcsKk9pX9jh/PGr9KW4D4SfiMkuH5ugXgX3R
VdOZXxUtKdLuwS1ZEGRDvq9qr5g/E5JE2rVQivvjnK6hjxXXQdJUtPCp6yG2j3Vf1mz9kKaMmU4R
L+e+mKJ1Mw4l25iuwQPpGp2zE6dCL/uYFpGxxRXMG1zcqrh5DuhXJntHes0DEEbylgqt4zhp89Fp
KiJja0Uy9CiKPARwTBWq1n3FQTVDLNWjnTJq2IlGHhwKiAEPDW1DZ7Ae+FTyetgZ6W0jrASsQan0
bWP4aTh2pNG8kfaa2uL9UxSU7JkuXZSdEZzlXjdsWvR1ZzAHknfNyXcAfIxWHSCizXgiogHiWFJh
ppb9yej7YD1U7XNHWSnblU2Chmj25oVux2dyXpwAWUM/EKQkZD4apkSP5MRPeBVHGmoVb9yvSNbu
i5qzMdq2TpvwttWg2SW9sQ86cZPk1q1PA5DgbZ5ow3XKIbZ32mZdtYm7bx3VV7fuoHNGJoLMDs2v
kb2zDCr9Vk7kfOWRkIdU1WIHADsP57K6Ull/cu3mWBXJqdXNM3/QtnQ2HrXSDesZEhHYCHZGaydt
PmRl3pDCfP73kv59SV+0979/eYBqfh0/u9f+v+j5fOFvrw9qsSAuB3za0ae+KUI/6fkBVR6khg3K
U1lt/v76YLmq80U6OFRorn/Q870frAWQjNgOLIhntqH/4PXxXwBDPgSjwOVP0qnmCv7sAq9ifxyL
0Sd9TX3bvuE+ksTIyZ0lz4Q3Kp5xsz+fhFnvLH22dsEkrggXAbOtyrfOxtfRc+coVOJsAosseixd
a5XZSbsWCWHyDKkjTAafC167VCfIqbxq4+AxcVhBjZ2FbVGfz2DynXeOzU0vAMWmJbtWNY8R1pY1
6fqLuVN8tup83BMdPMZlRqmDjS3LpyM4tr0L2q7vY4fP5ZD614Gk3Kfq0utB715Nx67IM8YPY+kQ
vQORS+mgRxH+OF+4lfc4RbADDct6Cor60SWGFeTGufSKO82BM+8jCICJu686KkQ1A9xnRJRxtm+w
QQEW0Z5NJuW4jbeD3pLR6przxquf0BpPVI1lq8SZduPENMND8cqNHzPttFQTesOGFolkxYuXi0c3
LSVOrdrgBhObcRyBzmTlZScnJurY2tcJ0tUkBZemEe/VLI2dkw/bzG1vppxaAxSVaq2Z85UVue/m
0NzlQm1hnZUrK66uJtvdqqQ8pKADV5HXX7nCu0/aiByarZ7clJf8UoXMns/GbVKlGNioSA4r09sN
3XzN3cjbGklxnAxahGfa9P2BYGrSEaApzGjt1sFlNnomPTTefvLj2/ZkJwdXoL4zVbkqo5kQ5FTq
4fECM7FJB0rXBog4u074T5il2OC00GWKOt2xPKpWeVm/555bh9mAhG+2BjF2oG96jNFY7VOaotmi
ZG9dZ30S//6UNR3ecWufFmDeNBLGVPpYbmjhth9YOcMGVcwKXpSu66o9lo57KBwDCmWy7fw43xoA
SjdqmghHxS4tYN/LhsoRw0aOi89LfgRzLrs1GexsrXftbm4p0fCG9kgvm7lu7WYfuDSx1iZtJOSM
cbrZ/t7UYgoRuukVdOZdqtfh2JcbfTkxeXR5joLH2qLTN2mH8ba1jRaqQDwhhwpOZPBwa2MWBnIx
YXC2vTfBCALcjAD2pMkB5MR5NPaMjTmJWvpl+Fx4hdj4WWNsraWBw+WTvtXY3a91Sm/PlFldR1ry
bsWLUyAqb1DB9KV7pDs0Pf+WZJA4ymax6anApOFnvkTjBRlbcnflmL2KPOc8KXUmaR1zvZvxDazc
l2Ewjn19ndo2lS6dj5GxjA6TW5+mqIAMMchjYNYfCLPQrVT2yp24IZDaU7o1aXnYzDwf0mlpdWmZ
wJJZ21mUZM8vZmx9jB3l7cSC5SatW7VuIx6DsYxe1QwC0FTtRTTnxqqytNupsfeVgZNMtcmDFuef
ueAjY1Y1z/aSeg/YNJIPWUqbLUCCxR1g5a9grBcpi+fOKjxUMBBdNjxpsjUo2GPcVueaOTkXRlXe
aWnZnqYRUCko4WzjBXNEVH7U1iKKamyXhH8SOV6MXY4i6qGbFkF6m3Q8zY4dG4euoLTMjviJgy8l
M6Dma7RtlzuVZVA7BEajUdqN1XbA0PiTVgm4hpU2YvDjYI+2o8JAUqPo7akfZrJERob2yzquvabi
6ayo+1s90qk4SmvKPcZj5Dsmna7zlK6oIu2yy2Yyuqc8cHq5cfvKzda9yM6EGLkJDFi6zW0qo4p7
Ydo/+0Gc2L9kJv6/DxQOpMD/605w/tr3n9VfLwTLV/16IWDBz21Ad3nullbLhc/w24XA+MEkgZqH
oP2fU/8/84QN1IHhw13WYniuuDH8Pk9QoakzTIB24Bd9Hy3wH1wIuHb8eZ7gQmISU6YTxoYl9N2p
8NOCfxTBpDW1Ky+VtHpvk4wRtYZiaTiMVZqARI3Ohjmnn0vRqJE/GMLgAk7+Jx0OzZwuT6s75+e9
CuS8ybDNzDAFmqpmbVVZrvM+udKDAQC9Zd5g50IHiacOGooRB1+BXhrDrer7vtvSJGZHYcQHny1T
U0uXK7EWafOmdXEg8+LJJbX4M/UeZNJFPBmb0oy7eWN7Rkmc1gckRObf2Amdzc2uG2PbuS8MWAlb
+tE5EA028pVrD/tGG9V+spTIvqTlT9s481nyxHFWDhscFfqe6kGMS5FfvKVR5YZBLA3eOo0aN1rR
ubyeUmh/CZYbvdR4Wzmd8zYuHQrzXFq7garQBNRbbO8clXy5UsMOVPlfbJ1QL0s2+17Dr1EYTNnU
KLodEoc8S2L4Ef6CaItT3h7FwNFWdFr1pntk9Uz6x7qwROKiV03TKQkBmES7s77n9U61VySrV8Mv
5pU71/GxAZ59ZS+tyMVkBDu/qT5zjwYnq7B4VSajvevrId3ovCWAQPKqsx1RXOW66NctYOKyoUCm
bFu58TU4CrFvfSa9Vu+djv2OQArCBmG3WNjwz+qu9oY9Kt67cyGogq79XUJVs4fdddeYaJdemY0s
vDo6mQsWI7u6Lvtj4OiY5aCIX/B35kpXuzWAGjxsIkPY9RwAcp5U10EQOTsZ4APvF2wEZOR8Y3U2
3cqCSoJq7vhr+tZTUeWMY23GALicdaDY6RHyCqrom5He1drKdkbhttcx0A50FTlceyk+41kZrbGe
lco5fcxiO4NH39BSLVe9PdFzbXiC1zb18tFU5Xuj6BIOp6zc/ztK/TJK8Zb7+1Fq2332/82kqvNV
v702/R/L689n44Hmgjngp9em/oPlBfWIuqvzfywNDL/LMPy3x+vyu0H9+2X7qwzjkDJhgKIoiObG
ZefxT16b3uKw+uPGAxHGCWhy9wzS8Fhj/yjD5GUB2XuIvFM09cd4aMfqYpCmopmjHJuGpvNUEJuQ
Pe1tSRlPDzX7MxXWAXRJqBvJ82T1txDcVZiQtlrLQexaYKs5hkD855UZ1jy1WECzN2upBLIqJ90o
jc6RCriyEbjI1YX2zIfipirzRylqI78evCa5zfOULT+INOiqSy0bt7xUO+Ww3uSqHfngllr8rJoh
uYqiJHWvkkJ5VxAbKcWxZYR+izQ81KETlXp153oayHYwEHLTT0Y0XLYaINUHAedk3BS5fMzNIEEE
zus9TLdMQTjpLuDNH6VwbqCCqjDyqgd9Lu6EnSINJ827uYxxbiLegJun626p8DOst2ThbneafXKF
yWQ2PQhssGsL3o42aqFWspiJl+nFxkoe+kpyp6qQWQ07eeSy7K9L+g7N2LnNfXmZZY0TKi39MAPv
rhT2p25nZBlKvimOz8efzjzOIDwDkt8fv2qTvygrZsiU6V7HORu2bdLiSfXv2sIwt3XFQqWylla2
zNwnWLyqceR1LNODlRDyccrEW0Fcn1c9q5cNtS3FBi/aEV7mdWQKgJdWwtFjm/s6VwYDElUtgZrM
gxrpwNOE/qHXQeiLvlxrZE6YDPpdWQWvVNDgX/YwmgbdGjSuRvNjcEtFHh3HYM6nSPtwgnlb6NMB
H9kp7lwo31EXNt0MCbVCvOqj5gvTMcmhVLJj1sp3mQSs31X1xCM9UAQ6enuOxJwYk3PNaDKwX6tP
g5NptIJFV0UwXDtxndKGY9xEjcZdGGDJSp86Z5055JB43ghp1E8iI8xQx8Nx4Cc49GKLEJbuJgdB
wNXbekPe51CO6nJqnUejH044b++yoc7Xqd4/lHFyk8CDZ+YQOyN2tQNMDAsqe3ejvOhOl9R0tbT5
0LHUhIh08SpIU+qXu+hKRDN9OZF2sCbtvWu1JNTtJse5wAA/G0GBmIEYGjv9DtAjnT22mo91g9qu
alpyKJJeN6Ky1iUF/Dh35DnD9QeCIm5pwjtdn16wAO9Wqe6dIcEZZI1Amqu4xe9jl6FtZK+d3sit
CobLoLOfRi3R13zUR4h8pbtOhPWFOYJyuqa+ETPOALpA50Ui9LwJy3hVczXPx3tTztVes3k6o4WY
0xfpZ6HMeSc878mRzi0ptukw1tR+F515gMJF+53v0/OmMf7ZtBHqIFy3ss0u09jFRZnflMV4ihOe
bZl4tHVnOS6N4MqMK6qnCkyAspFW2Hb0PLeVe4ebeGTa1b8i037RreJdt5xDKy0wKjEe6EgzP+1e
e+gXPGpZlg+lHMyNGaD9qsHYpW75XCv7zCHU4owrX1FAcvTsyb22Mr/xIH3rFBYmLa5lFFvTwXen
EW4TTntBZofO9Bx41Ti/dZb53PqBtQ/0BYsceFezGGkoHxKm7I7ma+S2imuXeo8U2xbdw+ZfUbzm
N3qxV3qtuLLmGe9a66WBlTqUCxAAKPvWEJEMO0FPX9awyatSnSaHBqSPY32Os6Kh2gHck5ljOEa1
t8/zCnYw1dYrcqfBqtRJHElbvnNXIxfdY7rUI+mc0skhCdu3tIhpZsI+qb2RFXwY5SP3GDMU3RSj
i+Wn2yG2VJg6mQpVljQXpScPqsTIXU3kezW73JCoiOkI52ltuuzd9SoiY1E2b5yKjJNtKYq+uvZQ
N/Y2RxuiGssttr7PxYn34byrsval851t1Wk7uA67GiLSdaKlLnmnNFipHtdTgH9rO2kV1RmOiq7d
ymy2XovNJbbOMy9F0CozfweGLA4lPjms90odEyE+8laH1tEM1tFsLLQnRvkNl+Nqn1TVfD/Lkp+N
VNrWWVJpxA15r5pMrc4wQmyMWJYaPo2QzngWF8ExCuYzLZ1LGrjAR0U5clNJEUri3foaaa25x+mW
CIQy8EpXNLPeVeasOBCNYgtSJF2JROtIXQ7vFMwRYmJ5s5v8AZOdQcUXu0iSZ0VyNaTmVcXiMczB
Z+yaZj6zhug8Kqwwb+erscMtZWUt90wQcKvU6044xN59tM2ij9gCesFi9tccQgfOsbZ8RSgzHvEC
kAHUdcn0k7/WuXZVdOltHoPq1nH2bbLOYOdsN5/F7H3FpW5vB8vuwfYwq4jUrEJZUOebArcaRXqK
AoHuZuhjKNsuWtdRflb5pb7Ppix+aBNYyTJ6JgCCIMZH1yuoUiiHZ8fSMB8Pp2bkUbahRUeOGWyM
APNxUBYPBNLSFUhpVBNNu5513BBakV4YjROt6jo/KzpuIjZnqqONvMAM43Py+70nonMfquoO+PWx
iBZqZq6tMqd6LFV3mirWlq4qyxX9q2t+oMe2N86covzQGv+LVKxYuQDqqlbbR3326Wvjtid1ueu9
ZtM3/KqstQc908/n+Kykqa0THjJU/hqI7C3pefmODDNZ5x1EiqDmDH687t3uOPcSMFbOj6dk4qOp
/myaeZ4p0YImY1Lzj398hSX0FhQN/zMv8BELW9oVhE6x9iLw4l7j5vbCDeyQTiy3uOmsrMElUwdz
QGCKBESAFU4+Gha/eTPVIA2ysxwo4M4qh3fQ3o+xhxuiQRLSvRJZrHowLA68oIqpnjfKUPkWRpb0
vpMSh0aP9Vhr2qsmDc7ZcQUhqdUbcrs42TKYobNd7kQ9gf0yFwaFLGkdpC+4xyBOio+PTjVbvCw6
dVuOLf80n069hHvnyi/SjVZZy+2hO3hWcpQq+6IeON3G0scTkO3qedfjXDGZeFUVGtO5r+V3ScGk
qNl2udZ9Z5dlY7NSHhcZa36zMKi4Mn7z3fTcNkXHlUNP+GG1r3VtjqvJlJnDQTx2Z3x87mI1Yckf
/AfSV6iIi5Wh2/gY+Yq9CUJnHPJwGbyvK5cc7xr0r4uOZzuGRmF0XevriXbo7phP/JPBCkpKE7d1
MWrqWvHTqXQn1UI7qukHnT2Zhn6QH2uJU2TKNT5tWrebAxpYulrbaoSdwirX5Da169Cm8jOMRoxG
vjFvKp85j35qA6kiu7e66lbaLks+y/5qs+6RSl9aKrl4aVFKL5NDktKzX1lMXk1p4GCThEuRpEO5
5t7Vr+lIbGnoW8wtcOc4Ttj85ToHG1Ohy89v+dlxN8cHgeE3OW9xEaFt2OE0eKdxSC/p+z43KKen
ZDJ7NdBQ+sA+Z6/K7aZu3jhbFHhVYkmVf9+nKc4boX+S36p2c6azGBh9anPFFasTtqzJvJsYJVbc
a2ToRtVHJ0tMT4mGQF3P2xbnqN0WNyaFb9XAlsMpa0xRZUTAx9p5yuGwc/p+L0Y+0ZnJH0gAaJ3b
MNF7Cq27fnZh9mQM6tx28UG85C1kkeQypyE7o0tSThapeBIAgU8lag/EpCKCWjrZR6Ow08QGuyKV
nupYPzlY/TEsnmzz0qUaQsMA0nUarSZ6/ZjL+DAk6fPgDfdNUENcQG3x0T1cb6mwW3PvPanWfEkb
NqYIDVurjA+z8uZDJooX/oL3yUJO87gLbpKhSc94K7zYuCcey3lk1G+zsynJWUuNWb1W5XwhR4VW
7xpPzQhAN8uvsU+/5o3P/qmnB1sFz4VTn6dW8lhKEJP/DvTfA/1S2PL3A/1F/VG//1UGXb7ot3l+
kUFBGVAMgapKEcRP87yBQ8KjK9hE8cTBTuXI7zIoK0oAEM4y5n97Mf4zzn8LpBaGCmqGdH9xY/yT
cd5eTBN/iJxi28ChERiGye9l+n/y/7d1aw9+kiVXLUhsf99+i42Od2mgYhFjj7+VSC7yiywpGsSi
sP/WK9UwDd3W/9Yx5bemKTlWUe6s6LXJy4xCR2KIGCG5D0RHI8mUsYlnTYuv7LwilMLYkQCtIRc4
kSGYnbngmt8H0aKdVR7V5qNymfXJcge+WnVKMGZmHVnWvYcZoV0VmcNcOHmds29J5IAaLHvO7FYW
HS6mQqCAWUp6mxjcDnKf74b6POBgctJg2P376H8/+g4Pw98/+neieO0+//rsL1/127Pv/cDkimuI
QPPy6PP0/boCWOJ/yFvUKC5LAvoUf3v2LfcHZiK8u+wA/qPz/2Ypcn4s2WxSL+Cd6Xrkcf4HKwBW
sH96+vmDF2cBfweDj0GgY176Q8YvavWWrKo4zWxmKZ8XL53iXpPnAxrvWISqKx7hU6ZrVUcXaefL
0DFkv+6q8QpcyIFLM31NjslkTldwr6WE2rILXuGSwzK9xZH6MepkY7V6pChYkyWlteZFPePyoyEh
Xpd9c1lN+qOc3Re8Q09Bi17sU46wjQqdDIeGykEfBEGMBDhSh7cgRtSAYPfg+NVLo+r7McEFVA89
td6u+9C1w6Gaqsch0B6jSp0lrkfvWXox5sk5KKeXvvaZnhgxO8t5L4LY35T8w1aqSN0d7CW6rupn
/EbUMWfWzG+r8nVbyL0fyHtl0oEaD3Jr2/MQmhlOeTIBBdws/6NNRiekAu+8H4o7Wc0UE8XOxsn9
Gyaxj7YPrlKHmdtsYWnoyy43kvLkNyMB7eodIO1z1JqXfV2928R11iLv4o0g37bvuYHGTYDC1tPY
H78UJpCIpvCpnXbpo5BN/S6N4CLXyClxbaclfyl4UDZDX9pSDo0mek5K5NjaEY23BIpT5i9Vy63e
yWMcBPvYdG7UPH6ldvbpld2dhY06suanMmZa0z3+kvyQAh3TspSIAKaOI8OcWvfaHfsLFKWvIgvq
MCI1XbOkXIsu6xmczUc7dm7sQUU0bed3dmx+CdMdDwr4I9d3Iba2JZ5KTex7dEFGU3crBpAXkRiy
nesWz7Wd5VuzESczcRAjcg+CmoEioRMDZ+W01T125jjmd+2QwJPJGwpMGn5q5WBCj8Cx/K05LoRl
jA/9LuqbszQq2+NSqQ89B6KGI+cbj85yWTlb0drtGtWLZGNONEYfJu7fc8/aXfDEsZHQ1v7MQ6x6
foal2cQb2c23NX08K1H52zgat5EubmffOqK2WSvPLKpVj/UiBKGMMify96GenvyKsLfnNm+6wV2o
qiMsJyzfpZ7uyWJra7hde70CJ6l5ebXW9Zrubn1n6KmgRVoL9kMiFbkQ/xNbzLk/1SPTR9bgGh8O
bqxwr6GabOJyuoe5cmRiYj9MFG3lWsNbLwLczsuoas/NfFVOrnlmI26GZF+D+FB8S7k5oi4SZTdu
um+pl28Dsq85eDGL5dSxtu63MOx9i8T20CAYB12xNKr7pXelfUvKqk2TK6ud4meIDJu+4BFa2Ykd
nZoeHsHgCopNoHI58T7xgvg2aXUNrKYzXeuFdoziNrU2uHaAZyPDzeHku317EJBMXRpKpgEPIypV
GZIrXZNmva5rd2p3JKLMp1zqenqBu5sIXVYkRsgl812PhcjWuatg/zLnwXveRPiJ8GGkphff6YNX
9M9mNMb0nVpYt2kQKN3oJXfSxL7QTfRyVv0TlS7/Hpe/3BT/TwvuVfH6/tn99bhcmnt/PS6/yZKs
pF3XXVbfS//Hr8elyVXRJ/1GXp6VNZ64349L8JGGa9mBDi7Lpjmbr/p19eP/8AzS67oJFsZl1/6P
yJLcrP50XBKocZCuCHL5JpayPztwR1iCNu0aEqYULwT088d6VDfeQs/mNLksjTZ7Z3yuVqmy7qwB
5Wy0tOjW9+QXEvGWvZK9mhcyd+zD/1tY3dRTFBsKrt+6heM9FWQhRlHd2EERozrX0U6O0YW/8L+T
xnsTVnrrjvNjshDCzYUVThxvPdVJuc+9hsUDJRDlQha3QIzPhXnLnxXKwWCWloJK/IVHnvl8KKLZ
vSA+cG8vzPIqjz+y3r+wgZnr9nSZxP2+9gxeXeDOzUTXtzZ1tXj9FhigV29wLbq85eCkl9jyo3ih
fLdriwv0AechWGoGOmMhrAcLaz1HRtgI1VgbK48IB32jF2Cz01pxx8uLAT4IBel9sCX6ihamdE2y
8IDz3cagm/BSBvbuBB80cIWdCb8bDrw3Dk9CZ4nUZP2ECR/tSyjCP+4IJoOT9pPx8zAaHgYAjY29
njzEBqUEga+tyeNQWwV/PoZDn5nepUy9k7fw6evuodacNyGAKtb5TsvBdVneGuHrIKL82lxA97Hj
3vh8h6IU5Varu60silNnBzduqr/lExHISQ+MFWPQvAo8eV+a9nPmByeovdSyjJW9bYTRr4LJO6OB
6Q77VrV2Z51ELElaWWVnsxWBDu1OjdDO4i6nIbooPiFDvkyjdtdY4nxKppshcLcs4J+ElnGJyZyV
A01h3TXs5bnG+Ruzb788pW5pQUgZM8BNFvm5hBsCbTmM7C+kwU1k8s+RYt7iZOxDyFS3dZLt3Ywe
Fz32ECXQTrqqfrEq99miFIr0xfRqC1QQHnJ2ZHFFz8tQnxtj8RHxRAadxWIE7yjLS0pv1L52hw/U
9KXryVoq8HcxUGGCtO0VjfSkY/NxCr0gQBvUFGdeIgCOWj6Z4CB/yAa+STNnIbpnT7FVad4MMO2D
pkTwL7tg0w/keKJYxidT1A9T/0xoBj+j9UwjPpUKLVYOzvLVPNichiq5VrILDlHOcVh7/bSzRyCw
upD2WrQG1aaLyyDVmi8SqNTDsBYZMNMlUaY2Q4l4fD+iqOd0XiGcBhjAc/u2iizUIy22Hrg6Ldx7
ccslG5aIsskh204YyDEs6O4JvSrYqUb2ZMZ8PxxkVxzTxvY2JVnuDeuY53p0sg2dRdTMJDzSlYTM
mkws/lg9r/GmhbEfTLd+g32UkPHllMwfJkV3JEj9ME3brS4FRLoS4DQH9qai2yDM/Rgd1TtNNs6T
hlIK3X9MnWqb+GjCTLtbd6D737cwlaiwmOqrIhVbNNlhPWv9GVUy0JTG4WgnVXwqwHHmtnvLd9fY
YRM59Vl3NbXiPsjhDlrYbuNIvvWu/VDX1lOpe8XKjCgRLywScNQVITqmDw4Bt1U9k6knmXiS0YhM
xg52nSfFuS7ZlhO5WJMgQPIanOdGY6Fpttqms/IvNbf3TeY9NC3ne2e/oV6hvZfQeofg6Ipax1yY
YJpsJe1nA2UjemS86VN2AwrpnB8eClfGODLk3n050jY4F9awhsSRbFrYa+6s2SHTEbN13ob1wIdJ
8dHD+3vqE/PQxyMVqMlwkwneAqZx1A3vjGvqee4U3doLvGFVoB2vorEM8G2WVCJ5PiI95DmuGsOn
lszDtg5akugiSGlD009VFNCWXwg25pVBC1P0qqnyPMnne02h9xqTYuPUZrdqSSJ2RBKbJZuIeLXw
d9p3jLDYhzq9WdfknFKfcgGijensDevY1Mu7idijVpn33rJ/jhp+GoUXbZXAIusTlqQJ4OCVDXYr
V+ybjNOhGYjQQUbqy4JnrS+FdFYFDMfu2OkLaRaveLVhLOm3fTT0wYtZ0rL3C77nXw+hgdb19wLC
2Wf33xyEP0tn3g8XoAPBWg/VnxjwT/ch/YexlPw4eFqWiC+iw69WGDQCRAeQUvp3Q9DP4V/7Wz7A
WeM4cCIWwe0fyAcef7M/amc0ikLr5jLk6phhvEVd+MlAyBUhpjRgBrpEaHSVjymlgD6QyNDj1Nl5
o/9K8Z/cto2TbAySMiQKy94XHPheambPWPNEdJlEtWgPdtqDk89EJvVNoznCu2rsrpNXdCKfaGFL
79ipmBABrNnbZv3cX/tFkr1YhTNfq0rFuwaGEQIbQTqmu6ouUs60OdkObd/HYbuQuA52pJUZsNHv
a3+ZuBkrjqmYTdYzlnD7tN+a1ZQax7KUc30bzwqiT4r1y9wMDHu7wIr1MPXYA03j4IZdLTMuCard
SFpGd2PuGhs5tfNOJ8r5QC2dMAjiKnfeWL2A7aTMYJ42hWBBdNF4i72xshuNfXbDVUyoPqFx0ax5
z7puh8ecCXfjVqrfGaSAh1uayDn2SP8Ul5PpJuau9fhvFff10yztIFs1bQzmEk5X7R0wr1j65t+h
5XtosXho//4jekW/0mv/16Fl+aqfh5aAUi78psuI8SebLxI2Jl+dGuNvqfrXD6mt/8BxCyjI9hzL
Njgqfh9aEAYD2r8C59ustmjf/+BDan1/Cv+ocHuMPxSDLQo8WdM/fUpt2K+I0sq4dApJODAdsXm2
1IlcZOCz7eWjlMyPUR9x5A7Fjo6SR20RnEpA2wDwdlAzWQVyC+iGJtlYdYf4U+8CWz8TtMi6YLwt
qk1mscc89FxD+I6oXPHjSyMD/V2nQMDxHvCJN9jT570r2SvPH8XyzCpBWaANRxz/L72+ljZQszE8
zzWVM+YCHXfGq1SCIW8XILlv6Wfzgig3LesCRpLLWVs8VBppirLTP9Om/5Kz+eEvoPN6QZ4zLdyW
CwQ9nyhXVdpjN0M6JwQQZoRA1+McnCpXqTPNzm/c5aibFrz6BEXWW4DrU9R/OQuC/X/ZO4/lyLFz
677KDc3RAXPg/ghNMpHeMOnNBEFWkQAOvDdPfxfYqu6qaqkV/d9pTzSQxEoyE3nOZ/Zeu5vqL1Wn
ob5nASj1KFr4c2B7Oke3T2S4q/GTiYW/tmYdGGUb9GhLuiECuKbyqHKIgDc/4+Cz0DDgFTOW37Fd
IzBe+wyPj4YqRVfRsfibFacs5MsV+aW4nGY9quoz14MQgUZVd5K1OutWDb3DmGPNatZx1rWyq0Th
OiXVdTerXttZ/8rVz1vF+buoZ3VsOOtk01kxm5bWUz5raPH49ysx62rzHHFEM1fBRCVDo571t9as
xOXZFAsOZdWTyHTDWa/rzspdSuDohEOZsDe3reE2dvZmmLW+GZuH2itnBbASGv5Gi9sPfVYHI6xr
l+WsGNaQDncNH5/uuCU+KHTFWomrIpq1xgg/391ZfdxCYyCHkEe1QprMMLhewhRKLo4RxCvtU8Gs
jNHKBX69EbO+Oe5qc+OE5Xs6a5/NWQXNVC252LMymneOCm9WSztzrpo+K6h9rJ58YAgRsllfbXxK
rbVZdZ3O+utizNgxwkFmvo3EG2NbdehnxXbQo912QxaIBVEYm6KxkhUfniAA0mSQamOfRf6tKcLY
oIBCEq7O6nAiz2h1HEe8qeAXAa2xAepnPXmQoiwvC9GtuCqRm5PKZnkya9Ggz2r0CjP4tp/irFmF
n3L1YVauu2jP5UeS5uPWYbF1ndOTIQWw60ODAqY6GBT9lTrcJYoGFEhNTGSMbswKvnyAlB0s1Qli
Vc5luarDAW5c/awE5WOSz2mIDLtXYcpd1aVE7kjVTsFOywcwWBcJxu4FRo1NUxeEx7F1sMAXYOmm
9pqYaZjjFlusPLPLndta76gRXlrVX/eBA9vbVT562UBjzqJnGMD7RCRPs0VgY9QKIbVpNR8i7om3
grBa94Mlgae0PBdN6tyhZriUWrgvKEJQXOZnRH1f8P4+dokyIAgcLs1UOTunqrYErNzWk3uPy9bH
jEXLARVr1ckRA5wfjRtDn+RSZvQjTpodevbQlRPeBPOM2w5gUrUEdh5MdWKBzLQaH+02yvHk2P6V
Y/QnZTBAHDA44pvCrDjjYVuMEfNekbnRm3Sy7MWKG2LCjS5a2KI1FgM90x7ABG0s0Y4LYZI3XbNk
T9U2A4tQXvJeubXqut9IBLz7ICNvY8iDYhWPvTPvO+Yk8MZa0/8Rf5T3wXVKXUh8cY23e/7yTKrP
ZGR+0Waus6QfuRu1LqKbJKgKz9FrOhjKn00tMUMp5uBuCqGNq0kyW5Et0yfVt8fN0I5y5deRQYmT
ipU7SYR3lflBLOXkxWLaYVO6UjPwCoY8mu2Qroxe1TdGbyQrQy0IYxB1tAY9Be3Ph1KGHiff6tZg
Ir6juQ6Taekzdt3oxoxwl/y2Ycq3Vu/7HFaGAUw6nCWWBaeUOtdTsPuCa7PqzG3YzfhHqVkbRWK9
wLGGnDmA8J6lGCs4ptrF36XOr/NZaoz/XOqc37vXPxISoD7zU9+XOjP+gDEeXFC25d/1I9ovrBex
JjGipaghr+FbqWNQz+gW9YfFhh20s0ar8m0+6/7CkpP9O+Z+uAb6X6t0DH6zH/sRIAz2HFE3u64s
fosf+xG/jQrD5Et+FWUXY6Ql1v2xX4Bbvh8mnVt01JkGMBZwpuTGGcXbWCTK0lYmpLIAm/kiM4G0
GSvUsXtlqEa+HBTrDcPPKWndB2ac90hZP9o2WJfzhII94nNSYDx0AO2wkKD019NjPs81unnCEU/G
uVfLcJlY8ItKK36wAmsiutRKIcKUS1BeCWtS8ylO7IdgnN5wHhGsxlilZ7zC2PTC1UcsId8G+Iq3
JEXd5/kQnH1GM3k/S7sY1miObMlN6NYpYxxjnKhtDKq7dgcoYs083J81fessVB5Rvy1dlmiIB88J
A6JpVl4TU+Cv/KxmesQYCSzZunQSxzMYMLEw/pq70VUdszcKonK8nZTUizqf5UtR49dmIGVKA/0b
bQnIeCJwXcV8TqdYX0HBs1dDpCZ7ktORFvZgZpTBny1P0nPm0RjIJ89lWOb0zF4MxmfWiDR3qkx2
uF0ZL4OoErcudq8GAN7n+G3gkJzutb7n/CbRoQw9EzoFNjXZdCgWx0DOxrEgEZ7PpAnHQ3R0LOS4
9bhRk2E79Z1F9ngApzWghVNFt7Q/uXimdi9slBjAW94LaZ4SlSFf10wvk+C4sWoeHFK07xuO9ih5
r3yTdWqSL0xR78YWPk1ly6Uls22uq8oKiNqcZt+dXBXBYTwaBxDbj6Ow9mnBwDA1x9dSM8t7bBQ3
QSpuNLIXEGUzWxo2XDj+NjJxACuRvyWrGPNpaRyY3Whswgt7NyojSpHUeVC6ykHqoax7V9+oUYei
MEKi5/e7yaWkhmTOpi/IyPbg9iCAYxNFOBVUe7pkur82WkyzCoVNVbUPU5I8Jqb+gUSQsk6WT6qT
HzM/vh/t8Jna5ILEKoJY7mzjbHqqqwzYbx5u/UFCzEbDnA3NPm1tnmY5PXUNFaBWvjZUZri2D64k
VjgqnnEhNJ5v9MjfuELwt82ukOqe2S5LzBZ3smqTOYomvJjHoI39XJJRgGjUOlWFfTMBJFcN/1Eb
lWFD/btM2/YF4fGNnuRrW8uuDGFeDYVKdqc16UfpYJ8vrew4xd2ZNmIdZ19jgpvbDsdJPQulo1kZ
PfOsIEZdIovVPctrGDwwrxrgV9NMwfIt/TWduVimGjdLFWk7Qd/QqLrxzpopWkOe2Aujsu8Ijzk4
pfo8OeGJbeG1oSssbTGOuCC52JhuU9fhMaIkQkfOA+jfJZLiirHCuylFwRdKu+MxfrJn4hegqHMD
AgweEY70sVqhmbjkPh6OtNbEvGqxgXBlTOhmmpgzc8XMeEguY+zexESCLMKZPuZ3oYqwQSPGxXLf
BhBlMagyX4NZhs3b91CGwzEbS3D00jwUTi0uE7AzdI9gz6Cvy9si01DbM44MmEtOeX40puBNY17Z
zoPLdB5hNrF+xhID/BzS4XpMSKIgDOQdk8W0aonLoCQpiMxokNIXDWN+DC0NZxFjU19Ux4k5asM8
NWKuSmTtTTUPWlHc7ywmrwMTWKablA3MZPErwaKax7RjQOhVmLJDtoX395X/eeXPOUf/+crftulb
nnxt/jjfmH/ut0vfmJMhVO57ZHJImLi+f1vKil+EZmqwyNVvQ4zf9XsCi5xJC6SyrJ2v9m+XPqMP
AiN0OiH+1V9dfH9hvjErlL6fbgiHWApGkMw7we8487Dz+xlk0459aedmf2nVfUBlP97k9ea7N+Xy
6z/2P3BqLzlNSv3Pfwj1R5EgfwWUYloKF+M1gxT+3h9fRFMqQ8q4Li5G70qwrsKsY5o4Q8+MS6hy
Y3klWoT4esojyzmHYWg/VYGtEzCkmuMyVNNB3+tWsayHnPyD4UiCC7V/tJoiDfvKZCzHMbn4puIl
ubIba3erlPltoxZgLkKu5tK+GaJ6C4yIbzhJ3yhJNM8U5V4pQHQ78Vsyxq8KbUBbFDuZyCfwGYjP
o/AqaOqVoyc7O0QyqA3VR9XamyKJei8phc14U0AATrVk0Zj9tuy4olpb3tvoII16yZ/3FFjqTnVp
wwyt2ANEf0ejyL6D9qkY03e/AI7gpLSAuTo4ixI3N2yoo9/YvedkFQumXie33lbfhjrbG4ICQhPZ
XacxJdL1+2oA26tHzWNMGNQyHPsv7JH2o6iydSmLUxYOcNpK2/DMyDeXfl7dVlEGvFbkDZxF48QW
slo2tXGd9DS1U9c+KdJYT709rEydvtXRmw9pg5J3Ip3wpDK/ZLk42H0lVgWUkkUSl+w8VfoLnC6E
S0hasqjQSeDqQLOKYnrU0hyvH5dn3io3Zq+widGReKUuuAknflbKSix0IK+u1shz0vQaPL54z+3K
IlMrwe86wTFovpAquaYjZrPd60sxlPgJkuzRnwAJ+qWDPSrQ9pXTVl7DIGWyzS+Eh5NzOFaQecQX
p04hzcroA6ENjhRCHbyyccE9Wx8i6pdqGb1HJZY2raar0isCUSAK5kF66fT6TZNSXVYCE6MRZ7sk
ilnTds2azVEI3FB2S1E3jIEU1aUzby+tq9x3AdMWJWl2oRFWs9PyNhgatmNk1S5ZfK4SJvOrLrBX
cDJxSznyVjdm1A68rcHtHmMVfXk0Wh9Sui+mFs/4DN1YG+A/oXBRTdO4VctARsWSc+Uee/YtG1PS
P2LjKmBt6YV52POwDi9sxXl6qIZXyIawVNjTc2z5d1an4r6X2bvQemvdVep9HCSo6iFyDMoMCgsa
3FbKR6M4zwp1PnDicGkbGh7a4VMFZE9WzlTfYJRWAEFOVr2oSkLSeDdc6P7lnRn0TEKsmKcc8uB9
jFZlZ06DvFhGf1eW+laZinf0tjvSV9iw5cVXrSkpWbBUrdoG71fcN4e2iuQjoWReYjFora2HzF0N
mzEc5THNaR8U5aZqJaDQXiYl6jei1LwOmo5iD7lXuUW+rBPTXGBAWgZGsRlyxp61Cd0Uw5dik4TA
d3Nmt5zr3H5itfseqcBUOe4QOBDQlSbFsgvHA93aK/GSh76JAOO0z0HLUp4z56bKtBU4mZtcM3ZM
nm7G0fYsJXjQY+u5dkx8yOrB7dEr285lTMPTVDdr8sWWvjt+xVqQ4KCQXlw38Sr1lWUM5sWuK+54
PGlV0Z1tlCJViUwRWImHpxdJqMvGRToKzkLlamyqhzRyY5QI9TtpO2u9HB6V+t1seRI7y14bQtqs
MLOerb3r91HGdmhEC6p2o/1gB92wKUv4jzKA6mM6RVOcY4MFdC4gxkzlyu6yQF0mknNrEeeiYOJi
TlAaxrxaOgkxAY6RPsRlva6a/qnvkwdgec+IC4xrtTWnCxdeua6S8rXUqVAq4+vgO1flNJ7BcAZe
luK5MnGoeegsSQOVSbROp9S9Awo5noI0vI2C4A1vrLLs4zY5VNgaVkXaGPw9uCJFEz5n1IlKH96R
eC0911D2bVc/oT+dMMUZ6dpXUMwV/H6LLuLuWboxZwCpFpZXo0K/UphH3lkSg+EIfmMVzDBdvuX1
o+/WLSYxO93ybXa8Mmk8YXXdttOafoMqMF8aTA0Zr6jhsksK5AwN9T2GMXPbJ662rePuAnbqphYM
zixtIzvRLeClf4mYLC8mS7srsP1W2nAbmJW1c0X7NM8RaTcm//zn1+6P3fznpUtgADgblowkAcyx
U9/f7BZJYsj1y/aSOygQtSsEMxa/tYkwWIrHP3+tH6uI+bVQX4BX1iCw2shiWbR+/1p1nRMz0df9
xaEdjh/KcR0qD/+3l5h/he+WpX1SJknfJv2l4Is5oksKuxdR3P5/vAiSbuYsgObQqP34InUYx+RA
9f3FqO5KclGVs9Lt/vwl/vix8FZ99xIMer7/O+YAvEATQ38RzCTK9QQ8hSoks1/l+F9e6Ue13b8+
lO9eaf5NvnvHElTVqdXwx5Qk8moZxmp936bYfBhNo+X9V4THl+H/Be/5vynz5l/890ry15djUYes
D72+C3/ix5ejlxmmqtH6S1I+aQxAbOsuCA9j+vT5/v0tdpgdDP+517h9zf7n2Eb1/1y9scr/N6Eh
849/aznwRgg2oDgSdJWYD2Llfm85ICcJdL6svPiY2Kn+PmecdQ/8DDYGgupwDfFT3+aM4hcHNxHz
SUQUzufg8i+0HPNh8PuDQkodDgyH/xA6/x4qirlb+O65rHTDrFFkBFQrbJD0QwSK57u35t88isgs
f3iNOYzZMehsTFTsGu3Tzw9jquWqWyTjcA5ie5eFLTZuXZfV2k6H02CwN0FYhjoAbis6AQX/+EJr
HPNWR+5FACcKwZNd2W69ywK/PKFjd0rGJrP2AI+zOqzEpyZBLTS6dcYBq5yQsmIbh2mK+lsQgjYr
GSD96KsefcqmCgH/wGqTG8MqWJh11kXOSgiMTqrXzuqISAkSfb6HpLLJPgUUWTWFHynDORzPkc/Q
zmHZtnKTUehcZ1AS1ZVWoJRahSJVjVsUfbj4i3Iorxu2CzidyHpWZk7GED4ZhXYIhxBxfqJgy3RZ
gXblpsM83reWtrAb5dyG3YMZG3elW99W8XQMsu7BMklRcKwyX8SRwLIpVgCMjmEIUTwI4h0DkciD
EXfoaYBwcjmA4XLmaYO6UBEITvm4r0zs2+BNgL3bM327vKoiS27dLDy2A5HkVozJpEAmKgjhwLWr
sfQC5Ty6iDNyi+WVy5wtEFzozTCYG/bw0wHk5aHzlc2QxttGwXGREtvhRcaE2bzA6hKd0t40Vr6B
ITUIC/IMq51fRTchoVgEEZqZFyjxrprmSFrEqVk9wI4P09u8ag6hQZ2sjKr1ZewgXo5VQH+gE4BR
8KgOWrSiHmULRMuB/nA3FOWpFxncGYkTNAacwKkIeTGQ5q0pYPsag8CkkTGKQbbGytsXzMLG5lRa
4PECt9p18TBu8kR9F1b7VUtN3MiJlR4MN53rQ5T01wUOdxqS2YCuMYXTbE3Zu7HUNrWjfomVcDdZ
yrnR7PsmVDZJiNTfYe7lxw7dCfn0qXPdZYyWCLWRlb+qNQXiSx9TrOgwdhrdKw3eeDPDLKN2j9o8
mitgDaIsfZms7pSrAEWiatibiXqZ+Ec7LTulDOQmATCsUF71WntXlGGXi+lowCh27YfBf8mdaU/M
qbM2JcFVtnlfsiNgEfWGmWNBgd8ccCIfTX28BD6dtkHJzE4cf2mgPxtM3b2q146uyIJlL66w7I0p
5RT5YaSITeWaVNw7Z6jvBf7dIYgHzwypsjswZez+qVO76AAiZcdEAnh5pz0USngHefEeWBuqWCjp
QfGh28O+dJX9AFV1wWqPtA93k1AzLdgCe0auoXdqRXMjernn7zuYUn0xEAwjsk2iBW5cCm6jkOdU
DPF2UFIdopBjP9VOHlXLYRx98nf9+GYAJboYhkRDKADWQYkaXBIKQGKZzBnLzcioVYcK1/O1OHaF
GZ1bMZH7mlSdj8O3sOZvGEvbfFG6eJec0nfeJgvhZWhaD0qtW6uuts5+SCwhMhNSzoRb8zAbc4gk
dfPozMHXmJQaVa1mjWfpBR0Gek2TJAnhmi/ifiF7uqmuqJn0uuLJsm4ln7xXtogb7Xns4BiJdfLh
n62GqYgWsZW/iQDSnYUymK+cy2dk3qnAgHgfx3gTjMFRIuBcjLF/HTf5Wzu4S4kqxJGsj/A63TIb
fjaM4qVuY1pgue1k82FX/RViNIkdiAgARt3PumzX+M9ecsCSrVMDwdRm21uPyLWpM3av9nisfXhF
JLlJAsRlqX+l3Bk2RcnSNOueO/QTJkYbYg7al7pBO17xMcfkTPj2o5bVD2abYc7LaY8GeTsk4zFz
+21TgohTevkYhOMu6vmKDsOp89NNkPrwoRPrpmmmK7O2nofQPOeo7B3RYcAjJ7LP95E9detOANUe
yHbg00BQHL9MZYRoXVobEn7RiNCtooeIdkE9hKvQyHKYQNatNvGp1YmGQTyz71i/7BsDA2sdqSSo
h4fSz0ETsJiLoqnZ5jJ4NMeSEbpabc3UWHHcsO4fTkbGXw9X6ejAzKniYI/v69ktOs9H9ls48RWx
iNs4ZQFe+2jRdeZejuIRMQ0yGJlv2fqvahPvea+9aBqYwuvuXrTjdc2kailFvZeqsq1M68VXi103
JgsBnNUXtuc45rSu0b8sUjxM2CA+fBUpLLnJL1CkYDNM0ck1k03pl3cwlliKZ/m2C4BJOW46Hmks
0AbpR5r+F8vPDyoTwwWWwmadpaq2yIXoLzQh4cKpACrGTvVEBxasFdW5Uuf+qc/K8lBrdrBswiFd
I0D6EiWMywg1VZ76wuJ5gYeyGlm1LwwRJV+xQ9mebqBj9PpRP/Vh7X/8eRHyU09ECeIKA9YZVQiC
Bhw2P5Y5WmxqZCn4ylnKe5aXsfsmzM3/7SV+artGnmIrbnkJtRzZkVy1xRVDlj9/jZ/K+n/9GQDl
qA0xmRs//Rk6ppe0d6PgSiUA0bGvpuY4DHeEjP/5y8zd6O9F4VywkbdD0SpYjDPbVn9qVoJcjoYd
d8FVm0KuhHlS44pVyvtWXHqgElZdEc69/3zNv1sJkwfhP7cSD6SqttXrH7cW84/91kI4RCDpOugA
anR0lnQX37YWn87r+WkwYZ6qaNd/byEEqEANe5cQRC4hQKMs/9ZCGL8gx9QtUq7ROn/+T3+hhfjx
u0ULMQs86R2wkgERZLPw43drUJWgq6oM3/VsMa7gfeNziTAnf/e+/Js+gr7/h8fy84VMnQaKRx8T
nCp+GghoSdOVFnvGM1Mt9z4OUS6w6U7GaYt23KyWRpO1YsdhOt1KPQYuamniUTp28Fzk0tmj6XMP
Go4BhviVOVzC0bgxxrzLPWsMkJuBJKqNlw5LsHPp/bLr1lLLhcfQiHQlYC5XzDYRF0RFwcA175O2
W3Klw/whKS57iuLRXZlkFKsEr34xE9FjxULiLFq1SFAZxAmwNn8wlgkrXSWhAWHC2ufGldppZnzs
EnlVNVQAKVCXZeheQCu9m3XxNQPV7tfqnc3pjM9kYypWvsEdga2lQDMo/LWbrswh3fnjWHpGnEZe
XWkek9OPEDHYVIizphcfrdHdJhrgVsbD8tmOMUq5QdyewJhV57I2rX0SuafCTRP8OwTvZIpifAhZ
Z1vhhzg9mrKYbT4EXMGUQurknBB9nuus7gkKcjoPC5q+aTL7ftSUpwQYi5fL0CRuqGHPC75BBwrL
LbdCd4P8Vcz/RKOvNfTl9wz0AQdZThbe4FFR2Lhq1cod1OFJJNHIu8jNs6hjNgpCqUZPmtNNaTXO
PlQ07b+M6fT5kP795Pt8xISOpc3h+LNnzsGPz3I5VkRsDU51rlfpKwlC2u10ay+URblsttnWp3D2
glW6sVdksS/MvVgbK33rL+P/8qz/lFfMCUwGi81kysIeCjvZ+Wkwhca/bwNUE2dfD/boP4dlHIDa
LnpBirodu6sS7cq60i2s0b6jngK7AszBZ2TFZUpiJ7Ndnxx3gGIvzUBsSK1jYWyaYu070wt7cxNt
JnJOfxoey6RAA1nBLbdraXhDT3YuiI8Uv9qwGg1308Pql/4EOd7xgXu42xkGPur6RgBJwuSEdDhy
kRanGfAvQaCJmJOXCpghwVH30Z3ACNE8UjxnCn7NWohc5YGozzKQFFlGcB8QqqYZ6akdHCILnALb
AQ+a7ZZi3aryv0wVfzxE5rsNXbtqW5yXWE2Yjf34CbuIp/De+dUZ5r7ccBCwtatU0gigRKPNQfFa
BhzXv53o/+bkmoEx3z1Vf3zNnz5NZejsqouD+gyr7tn0aUraIPem2t6KtD3lJYqNwALQYpeE3yTw
fUiAGI9ThQPUUcxjHjlPasTSs6uVD+TK66IsT/grrlV/+mIG5QsUz9Irs7I4/H0nf0oJ5qvjt0/Q
e21e/xVufiZZ6Z//uI3qeI6j+eOlPP/ct0t5NnEz6+LmxYoAqO27S1k3sGoD9DEJ4jUg/vA/fZMS
6OgFSPpVLYGqfwaV/HYpIyVg668RBCyAmHy6KP7Cpaz90dAkuNiJW1F1Irn4VZA6fD/Z0/yWno4I
uctQqfY668QccssChCRtiAVc0/ARAftBJgUrYqoHNUk1oDuRHe8SODtPEQnVJ0Z6A99Ro7yVrSW2
5tDW5z72i68kDHMMJgjTwgSq1QzSwsLsKoAmU00ZLnWVwtmVUjyT2NusNV83nSViWsAdmZ+dY1Ag
2BvCm3FIiOfVGKTowD43k2Ol940zms8J35nbHsLGqalDexe3M4zdbhVYmOaYPxit2iBaqPX3HPD3
k6km2TYwa0CYhV+/dvjxiUFykG5Vbr+xZc/2OeyKayJC8S2BUAuioGBDqYnuKlQy0X3JyYQSBw3q
4jisGVlAcf1kDIHRk+E5/KQQlX6dVVf2nDtlB9oQ3obSJWnhk2E0Ndi5gIyg+Ge4RvbaINCoM4fI
iKQtevo6Etqjg6VkjBSilsRe2eklF2Lvrt3SH56tPjFe2aUQYq4MVrYOQsvcj6013jZ9Pr0apokc
LtMjFdU+h2oUYA3wiy54w48Tga2bple/Dqd3KxqeKqVcZ0G0V2ZDdKqR3dybVbFFYhHAA9FaIo4Z
RxwCrRmPcT4Untm4pBgOac6oK+qDaF2z4MPB2s3VUlw+CjtKduzU7o2YEVCh0OKEat+BIq4aHCK1
deuERbprFPSphVpa58EFT5nqOWGEemPmd5Qw6XvdJe6bAoRkbyRAeYohZRGmKV7VsAHtFKUeVqyW
yobVdlR82EqOLLHwMxwtTr1Dx269BIitvMlF10EKjjzaUhANqZTyWfPtfNlP8xwinvLnqR2UAw9v
sDTsDJhyUPlP0Eb7+0xWyQqMYXSrRENxCTvW92TA2omXCdEBlauFhsLeDZtVPZi1F8AQspcBeNWt
3unvrtUtsGjs7aE34P8RyLIASaW9w8WDZQcIeOEWNVHTvWP+WhL83R/NyuY/OYvzLE+5b2mTombc
ff3nP7RfT3B+6reTmEA7FFgcwVDTBUfo7+0RJzFdMqkUukFzxOb1t5PYcH5hHSs4bW1N8OWZf41v
7ZHzC7h2jnTOd85QcvD+imlNOHPR+HtRyTKOnog2jNKW4xji+09de5yxJY0hiF4xnWBWOTcJS8Ow
2i+VJDxJ8MVTUz/ekupGoaW5D35DhIJfUUObpv3WpMmtTde/wDzrtU1DOkARvbWKuqu78hgrMlhW
OGgw0TNYspDDxIb2gmwo2CD3rQ+EIOxg4i6NKboyGmWXhu6pjsnxrEiNa1HJLrtxQlBUO9sswrzP
SWXj7Gp6KwfjM11i8mmXiKxudKN5diMbbmOcXeMn1RZ5odwpITNWv4OVVEYAPX3rgGSLsv2lD+bd
tilv6kqqiwqZECP1Q6rCFZdTthkhdZ7UQlyF0STQF4nDZBbnLmsPTu1/Ldz+EOlwtEYrvkZjhFIo
8xnvgwMPdLLZK3NV4+Z9rUBgL/rYoZaqHiJd/UoSBF6kwigByyf3g618bc2OPyRxYSI7pzEJcO/y
N/hqfIqm4rWWeb3u/Dha9SP0zFAvWWyY/s4fWCJUzKk5f67qtn9hmsnmxdaPg1NuGoEQyGWgtOgc
be0AhCh98yrWC2bi/bRte01djpP7IC13jQedLW+4URunW9aOvGaGRrGcDUcSVY89m4NV7xdPUQgh
gQtBMlxmZ19zpQIuezKn/tCDVGLMmn7kTnUieC3AYR+cXWjjXtZYq75um6XW6Nvad6tFXQZ3elJh
xQ1BDNkYAHoLfBE+268knt4G/rjBKjes0jzdj7mu0Zop74MoDhNXjiWbR/47Mhfp3ETnkOeuMy0N
ZXOBBJoc3SG9I+hdQwjj2qln8X2CNuSHnt3WH7A0ttKuNlaHTYCZR7Dm/3jS2nJV5C1K67gjwlCp
b7Wu2kgzfhajtoGMil7NMQ+fXO4mp93OsvS6leEIGTRei2ZKlpBFV2MIlpkJn7OMp4o2FfynTP1m
Bclkowf5ITbFOnFnTLlbXYu438uwkcuwGs+Vy3sv5vQXWPEoquzxC8V39Qh32/DCwGVTZuHyutFn
BxyWb0hJ12rhlje4hdJkow3Arw11zXYHk6buf8TB8O4zBsFBmCwztbT3djY8QPx9a+IWq2KeX9uB
u1HC+Forkh27DhIA2KIUgw332e68KFFhLZrNWTMSwR/Hmsy2Z/yh3ObNIFahT6XmJva0lB00/QKS
AcittWGNr7CuvBItGfSDleqO93zQdAgSmWWkHMli3ISxQtwWhGz4O4FMPFfxtzId17GDAXCASDKK
CbJO86iVFWsLrNw6Eswu5RozIq7TCLcCYugZ6kJoCUH0RcoH8tBUcjMO7bp1sIOk7S5SsGLGGRln
aY0cyn1KUZQu6ipkbeJqHiN2Vryp1S7w+m0pBM7MCr7UPdL3Boz6AFg5FuCFi/Ek4Oz0FZVGSubC
AQcVn+1Ma2+3bV19aavuSg6OV0txp0YBy4ERuTVRa4hWATnEfAtV9l8lLklGCeqt2frvpTVn0HbU
IiDxlrXdbbXAHpZKaW5ZXV58derYckJkjkxn4UQ4QUV76u3sAFocRWSMjThwnhMDy6rlbNtMLCrQ
Zbg3UNd3j6pe7HwxrJHt2atYkrkXDpmyKKz8xmjdZhlN1ZVQkboGcjtT/4qoO/vWhH6FrZHezFEK
eyS27GuwCwyQdRm2rHHJrwxF22Fd7TzQeROnsAHktzlQ1a0dqlOiFphBFOpb4rN8afT2xYgcggF0
09gxZ79o2bgoguBam5wjiM1uOU1KtLamnijreInTE2RuEcgVKGp3ZwRmi+lzuBiJsmYsdQF3+oGV
kOl+4dUWhU/lKGtwLNmyVxrEbcWlsZ17gIrhMjVNLDqpifpP6slTjBfbC4ruQ9YtS231IWmzHZkI
x9DFqsf+gMgA3dOj6sMMSIhuteIcDgOC2Ok+1nR2nV38wAm8qkluqBQf/p3qPitW9TiUw6FPw2JR
t6m9hDO9bLTwwFBvGQ70C31wEE3DMS7GHXHhkjBr0gjFFltN/ICPso89Tcm0tTI1/dIZnFWiRjvd
JPun6FNgbHn4VXRG641dPszjsld3mq60it0N5QKsO11bD9UkF74BfagBj+U28YklBcflOICvyqPH
XOqXHJgPBFTS43JQOWH9hRmp16ju3lbG/2XvvHbjyJJu/SqNc59CegOcf4C/fJFFT4mSbhKUSKX3
Pp/+fJumRVOiWlM8mLqYamCm1RQzK3duE7FixVonldmvR5X9q7TQrKLU/bEfpE/IdF9i9hpRJNFm
kJcJx4fuBMWFkfZ1+2JMc9xgm7A5K2vsPozYCld6KiPnjiwLSs6K1vr3Sf4vqULq86ICmJdlCr0L
BLsUkS2KGOlpolgV8NEHR3NOlItk8tlYtKfFdJwkU+f68rw6oo42z0C/gg0KgzN/lS38AzTvwiN/
+V+w4S5UVd4McDdZ9df/pt5tfFu9jnLFrz5GuQr6KcS4tCSiMUw0y4/+LgLYHwANBGYJoiV6D39G
uZCFsGZDyOGRSPQzylWhGFEKkw265CzbQGruD/AGMUl+xrgGZQQIScwicEtHxYfkxSQCZa/sLnXC
YxqDRhqbXX+pF1dPIv9tOJotMIuXd9EMdjV08FChMBiDp1O1cIOYwrQRHtdZGMSzzJZTH+XGAWgB
3sI81Kpymg2qsrE82g+b3A+n8egetmiqnxMRncWBvVQNP9ggsYiFoSJB5LAbWM9KIE9lD5NoNVk3
rX8UtM4qb5SNPHZnFSXJYszojtNOgtI7kEPC56QV3Xdy4Sws0Z7vNrRBB6pzAyqAKkSEQhvm1f0k
jpsfAWguRj+mifGZ2zgO7IphQmiKrwUqV+ZBJ43J0u16a1ZL1TAJHbDyvhmBO6I6he+u6p9czbFA
Wwztq5pghiTB+lsGcuSbc78p8niOTBjyfZkChRa7+2HlOZhvrBUNRfVJq9nH5lAN/dLCP2TSI6qF
BICWa/anUS1MmifUeFlKo2kslayDbjyFSSXTBdcYCbKnE7k3pBMbZsQR1+eAoDsvEhzsTEqXdqYH
MxKEEk8TpHJKyw5WRDXRQXNXReF+VFQIM6iuqHeVFjodzrP76osCeQCJXOfQKU3rAJ6+90UWBZvW
8gnDqOpc6Hf1HDuLqO1ADyWytvH1M6dyVzm0j9IcaqI7M8d8SJ+peU9zKqHtFAB/WLeq0R47TWPN
a8acJsCxuq5877AfUFsfepsQpwjWEoT5uaWgQuXFbXdO0wUl9SGeO5ninHsD6DYeV0j6D46/yPIE
K4CIelCmoAkUXBHYtRteXTszi2CclzV2V5BAkM2L++DAHBt/btXDuKzrWAFicIUKV6uiclFUS1Nr
V5CVaA/o1erMy0MFn7rkKEhjrDkrbMnL4EzPjDUG6ajcmfGKbp9o5mnyaeV0FzCM2o+Qxu0fdKpA
9IhmZtebP7KgmRkEZIDnyqUsNQsP4E1Ss4he1oQQkJAZt9tJZeY3VVXfpkF5O4TDpyIEgNHaA4L7
BZAmHSnjUu/lo4GqjubUK0iDQNHUPcr2mwwcVyTSIu4UXOzIkJrhe0rU7WXfkY1VZp0ZazTGenwJ
o/1imMG3eDT1uVlF1UHddoLMMW7URCUGUY/MvJl1TfQl5/VVtQYCY1tztzUXnkrgJY9fUC1BBJZy
RCEXEw1foQliGfI6NJRwpgz0zFrWKc94bjQN8q/B6M0Qn8QfpEU+1dcJfHxXPavjtDrC+/3QU3sm
c60s4wJSXOSiemgnw6HDIpIzKiBOiUirvbFzbaP32RWhwzQyrItG9c5A1jcWf25VZ5M07ZnvBAex
SlblckZTL0KEg77W0Md6uSmzO5/V40iKvmaR8hVa4QF482EW2wcor52NHcU5zFSyOD4y9BBN5mI4
HC0LUI2mSdsfvheRtWpES3FJmEq4BG+jO7CzcVgXY5oeYG51kwwuVSk/hZ3nIadp9FqEnl2OOjC9
D+MA+vf2zguo/XrnBV+4a4KTBeT9Yn/3BwXhRBQxjrOCnmhwvIGuhCGaJdhObepEg8OJd7yHeife
i+OtkhfVWVFE8qU92nSG9/15U4YbuXdnkWNdyX2Nior5I41Cb5bntOB4IUUQRIIX2cicjoX5sWtU
0w6dECoyrTqz7HqFHcc3LMqaaRBWn1TLR3JFoQ+BFlUhvDDtCprS1pRarUntpkslLJcqOp8xSo5V
Yt0McXJBR9gBCpiHYxUfFI26sfKMPFx1lnU34L4wBCsVKtG0aoOp6WLj4Ovh0uP0m1Vyda4PjTLN
ffNA9h3WNRpadIcpdImU/ccwaPWJY5IBqoN6ogdjSsuBOSAEGB21+XjsV+E66oylQesKKSCNrSmK
mI1N/Y7sayHRz2t4+Sb2khbNfPUkiLtD9JxWnGs0ieW4bGVDtcjC8oSs4xzevzdpU0TNTeSEiI8B
hcryNNBIIJLRSWmHDj/qgyBd9sG1g/VXIOpvPRPULsdFFBXCFWmp5AlSHsoXUsRZoplT09FXHfuQ
VuGU4FgbuZBbHEKkG1dBEChXi4lJP/EE7UllLeViL6s3gWV+VmXEfGRUh/Bt+TIkqjINqyGao9Z0
oo2GMkuFHbieh9hMJ2HzKdOwaSe/KI9irP/Wb0/VlxVcAhGTLh5gNny2KL29CBHCsez6EnfTYxQU
Zlp4UKoPmhq/DJgFn+FnEHJXm4VvQaOmgQSVbQtdvKdBiGaOKYRqDzlJSLGSeRI0wSrIz8suZCbE
08AsoHjO334qZCl+c1fx3E+I2k0e1bmuSdKRPKQXhqoi8cC/cCp+xiMWNJ6+xims6SvT1ejOxoyx
7fFeitNOuDsF2RQK8+dMsjZBrctTmvCASzrlm+1DF0tkSFF20s08GMBWrH8x3ainRxyIktmUZvNm
tNK5Deo/U3JahGBrD+umt7RvWRqic4UmEDLUwfeYuTovZNOfsQMPM3SR5CnGvBeNHo9L9sOPjdeq
68Sjz3Sob0ILTM6uLquyXJhVV01UI1xpsi/NQ5kIJe5SUMKxkacFLlmQUA3MJIL+XPVTXCnJ2wvN
Q7TBoSmsan8UVYe4UR6sS11aDZ1+2Y/0q8nRgVEjUA73zkMxB3/xsA6ocTXGOhpD4AaMKAdXnWmx
TPeZG7HLyletjLJ9ECZHtt8v07Kbt+7IDJbnUe2BEOLQm4WARvkY2rMydo9yzOs8w1opGTmc7fUX
vgkG2YONNjUejZqGiTqSlkvoGlCGm+za9IqjUk7OCkQCS5w3JpVy0Br427SGtrJSCKW5onxMB3/V
u9irtWVznJuckYjPrMtSv6VDn+b3gBZVQ196ub6xECP4zXT73Rx/UTzsdEIMFYePo3CTnnrH0qI4
LD5RnlsbK3Njc/RMv6MlYRwoR+nX7ncJKeXRLQvM0lDCVuEUOeLLPZnqqATaaWTr0hF1qUm6Uaf5
AlsR5VC6shbyXP54Ik03V+0czLm95n/i42EjTw6ChXssgKTffJvnB9/9ategGxk2at0UGMS6fPJl
BrlLdCi6lADl01yjOiZfle3q7eF+vme9vocoIDy5x1gmjeT7sc/heuuVK2c4e/v6W5/Bkh0oJWiO
Y5T9/Ppo5I+SHBQc3tJpAUhcGsSc9zvUf+tTwhP3jfoUrUBH12hBvE7exS8+Ju8qdX9gFNNEU+iB
pveYvPMj2m4Uyk0O4h5k0D+TdwuPdFh1Nq4RJNd0Af1M3q0P8OM4JTiJHHL4P0ven88/gQDRnIRq
EY3k4D/qnWTAk/lHfaNhkwWHkrPT0tPnA/raTwZlS+ouluyTM5MSGE1EJnfiCYWyvVjyT+5gdlak
NVbTnFR6CDH7kySfOMZZpa8UF0rpMbS6t+8Hx+E3dxTf6MkdVUhcASzj5iTMG2r0g4f4zoBJNrLZ
XladdWVmH7Q1NSczQki6Mil+oFVIId415nVSw2H3UvNrrzrq2tToBh8KDNKUCtM+zfY3RoZco61G
07yUkQaPfmA//zkdkWVQVH1iYfqBNE8plMbRq4P8Zs9LGNBIjQfeSo/MZYVNy4LqnrbwaHJauqCK
0wDR6AnEDA0nPToEXExnpM6e5k1wbrftIXIWlOkCcs7C5S3hvJ64IPoFcjT6QDRgdmeuG3eA59oK
KOC09YUJn7lO5YZGgdA7zFBzp9rzsURIj+Dxaztqp73lr1prrFCSrZaEBks9h1gHYjHxTbxVaMbC
csQfjrLGgggHtCk2j6FKLzLC95VZ5BQs02JV4OdWn8E15D80SdlnJ7Gnb2rawY7RoQR5ryCZ07NV
fItke2OaiM/pySa3gnUfdUel4x5LcnQ8jOaVElN2KCTAEag1ENyC7xhx3cTIKM47Qz/qcx21BW3W
Rvmmdjsg5WE9aMGpDGyRuvDk+2HTDf2GwDqb1SMpu2d0h1UrXxHt0zCETV+C6acR997ETYboOGjS
0zSql5Q2jqMxOpAzsoee8xbwpYSD39v4n7QRytzgAlSpPhb1gPubJHsLNcmRpmq6GpU4sngbWalN
PGQIEtnqIfaSkGFOdN8+rxqkbRQfd17fLxfE3AduHJw2qXTRteiYS7yWTAjJBc7ESuobC/tQqKvh
mYpZidMkDTmgMoPbPtPD4YyWVejYSDyZlFO6sl1Q25pRqYB1I8+yLANB1k8TFyJZ1wPB13HUnveD
f266yhpO4czO7c9A1tPeMsrLXJa0aQg6n2p4kbrOEk0w/A+Q8tKpUSJrfyuDtKeNOSt0BedUy1kT
wJsUrwMa9dA1cL1TP2iPdCK3wkhQojLmsQXw1ruHtCHTm4DlIA5DRiUdwzmfqZ20ZqM4G2yvnriC
LaHBXy0c7ZNeVnhASAmymsDpqREPK7KleF3G6SIP8E/UBukgqsbLKsfSaYjr46DMLsIWMc8QRjp1
bIrZtipMOa9Dy4ZTFwN1hR2Gy1U5IGeJXZPhYkx4t83899CT2U5/fehRL2+qLaQM8Vt/n3iK6GAF
K9BVmLS64MA9OfHAm2XYGEDWOko3P088emWRAUfrG51wAGVBqvtJynCETp8FdQsCOGHhn8DVnGrP
zgdx5kGmt4ljBT+eDtgXMRE0Vy+STFc/icbcwqPDzBLtG3tm7Z6ozPAkOZJCSV3ZLoZNUuNfDLqn
02+FylWqNjJT38QcJC6iOWU/8CsDdSy5w9TW7rVy2rTZNSLhHhhqcD0WFSbJmo+VbgU9IvGKKUrc
CJA6n3KPGnaeVDpEggpe9DDKq8Axgc8axQVOiFBUkxJ8VMs6nvkmOhwpMgeKFVy1inkWaOnSRGx0
ShErbUcUcGpKUXLC3hVmZ6PXfULkdl0htAFrO8NkpaYDzSlQRw7K8doJyzPTxF6iSVSTgrN6qsp1
fETPW7awIzozkfTLcL4ufgC9XVOSqqeJBJ463Ha9SqsX3kOthLJxnKRHvapf5SkAHUWAnN0+JbPR
ABuinC4hLZPsyWjj/660/SE8lHCuluNtY7uLJmsPFQh6ioXVaQ5Mo9Exx86thko7rWHNTMtWu60d
dRp1LjYkkMlGbZPC+B+NDlq5B/Lso41Ivn8Jjp/O4jhfYYw177PwMnakWY37BUf0oS+RMiWBoMok
Zy2vtKGLcS73QZkua9wsFraZHyhG8g2pOlJ4y93IrbNJW5Q6dByFTRrv1PJM6WlZ+kqSTy9xpWVe
egZKOORLiJM4qcqR/BlheFF+b6PvFDEWdPl2VAWa707lL4iLaKG0+XHQdLdsqBUoSe9QSehX9eAf
6ylVfanrYT7U/o+OKij6IsMXXO8u67E/U1rlq1bmHFDjFyxWHJSoK21uefpNoPYHnewNX2O/iDC6
zengxYvFbkv4eTKkDKM8c514ZVHW3SBvdzkEPBbaRqBDnn3i9hVMEX/8gVXRrPFrzEEi05nXgHEr
jKCVMNPngVJ/auvYnyU5atGxrULghMFtSMFB6WLwmivGrExwaZMy/7uHUwVQ/EDpmgZBVKy8pSpV
X2h2WGUsm2lq441uDzgOW9U4r70UXNeM1n2nu6BT0ungSp/LWj4wc02hDy38aLi+N6fqZU0qBPFZ
zTPVLleYK1tTWDkH+MMia5gQeRTA17Qx/6j8+iRP9Ou2cjdmTB03GsJjW5UPcxHJmZlziBILkK+G
1E+oW5PSB3oNAaiXRZ/gKuJDcFed+Jos9MuI9AtNzWu58r5okZajHIlJhuTboJSq8dGS/ItelSY0
vn0ufD1Y576zHvvi0PXs/NDNqs8mWpGohl5IpokIkX0iOdWZjzR0ro/HSVKuooy5OSIkTtqfNrjz
euctouSRnK28JliWoe9gVw6mx+oxv1ZttfZpxzx3bUhiFAwQy+wOTZzx/pvP3TMHNbLrXx9t50F7
W1bBze2WfI5ffDzdFMTiaLmCP/hIK3w83ESZFnVYBFsdkh7Igz8PNx1aoWNBRlQAUgUx/Ofhhiwd
CINtU+ESThacln9Qi73rYfiZbQFHw/gWNV+0YyE+cmg+z318NQVPoufmqMyKIrc2UiwNQt1Klys0
DhwcCbF4VrWII8WFmxAI7yRlGBQLQDcwTmxUtk+arJBQ9e6ltWGk2lGDMeOsU6v0kDgxucBAqjtp
4I1t0G/Lvtde3R2oSRddIGNVHupZ6KTTurduSWL0VUbjyAI0XiB4RZ199WU48rjyYANTdtC6nHgZ
qQqNRHFqfGtbU/khacF4rlYmfoGOn2ItPqBqgLoGVs8mwldqqLKzhckUKdDoNEka91KFsntOE3zs
X8iwy7xqGVtKMa7H3KeXpNRsmx4jBZ0HlRs2ctugf6noCnUtpKmz4ZrEvD0rS8VGTzOj5EqPLhyf
Y9PEuyIxgiL8KIWjIaRYI8vCElxw8iAuDbTJtEPxNWoaba236MeM+BfMKBZNynw4sOsczDQ1/Blm
5I5x2OZaeU3RyES6HnlLdg22FTorWyoFQ5Bq2nJA+Gw90GvtzLJRPx+VqrVWaguInlnh9xo/wIMc
iHc8MkL8Qe0CBtM5SKSyGEojRXzPZ2J2RwnSFKm0/G+we0fQ0Fijv94RhNjLorxOvwfV920oD7/8
uCsA5cC+AGS749SIEPVnzKsJwAZxaJP1T42CwPbR4gZbXQgY9Hz8/K3HmJe9BGtoIuF3QnkEo9ng
Hy6KYOXzXQHVCNkO3XKka/iqoJWrYZI+GZgtKI+4ws99h5Ceq8qwnOmHIVaXhdTNU8xlzF0z7zm1
T6pempTywkCeoTJukOx6+z6vsZ3n9zGe3yeTKC+WgYELiHCdLjeddfP2De60pd56khdVJA8XB7Uh
DDhRexgU+kcLEX9pmDoSG2c7R8pnWrVfcliKwWmNdokS3Ib+wvNO1eysTi88drW6ODQNwhaECjwd
RusFdLZZ7yS/GQrB7XlzzJlYT8dcg4tZw4dmLJBZQfe4yK8aqpeZop90CL+4LiHhQC8FVXT+1TaD
35QKREr26gvgIykgSlpy7wtXT4A26hVK3crWcIJ8T6BMFYxUNxGd5Wj93+FBiIymzTq07YOyryZG
050r+IzBf8vwBZelkZC8wMYiZ1Ne1J580DmQh5dx8llNtIPOlStgLClUPvYa/Xpa5IQ2HY/1JA3D
eWmW67zBGqQtFrSyzNBsXvrjSWsG84RsTZxgjYn2T++cJuopuj0Lt/lcAW94lJ080cIaUxsyZy0s
IrVDHdMwENJGuj/MITBcZvTZ4ZvoIVuIUfOgTBul2VgyPbT5aig+V/RIDhIK5V16qNT6WRgehX2y
bFM1+5jQVphrozbPiN51Ad3QcSnE/43A02d6UNgz2cabIIviL7VE1SIZ4dAYLpkfwNnbk1n4+Tx5
Q3fw7tOFL5rYnk6RLnCqsO6r8UReait3PW7qK21pr8uTaqJs6lUxLef2zJkOC216UB4ki2zWf5HW
0aJeykvzKFiE9xZpvyygisXz1uJ6EZ7okKKsRExZhGEQ0kg7EuMJau3yb7ajbTPz6Xb0YsOzg2SM
fZ/7IHUaX/Y3hTcloCCBMd3fLAIhKfzqkZ4uAkLFp0OMwGVcaugjnfgAaqfI4DQY3nmTrpqTqXkn
BBVvv9NtOyB1HHheQi8YOYjn90vMpLcs6q30pNOrPX5rpdO3byAu8PIdPb3Bi7GTU9zBWk/Fyrud
NTSedRLcit+2Of/mJi92Wad3zHGwuYnTHo7FQW1e0vPx9nNsO5KePseL7XHgrC7LxFBPVNZ2Dzwu
m+ewFKE/37+R94YCj4LvZVZlP+r/K678PcuHMvD8+l/P/1jd/xmtP9Gc+uwP87tGqLPmthzObysM
qh8TBfE3/+kPH9qpLoecdtfrmyRIAXLqMvhec7y8bLUSTfK/Do+OaNDa/juPUREZEeiIxQCrwtdY
VGr+TpacD7CODXFumBSxDN7eY1Qk3I45Ry0VYusD3fVnVER6A8UCr8A/r31pjthufk51tkfQP3rD
KMxYpqh/vdiOqhGyQmM05rGnpeOmoHs8ryYZ9kv6TOq9dhxxem0gu0g00cTo0dFpeIR1a9XMmyCE
eVHTfHpkN4Gc1BPV4x4eJueDpM9dCXlaZ+7BDExRjgXPxiK9xqfmqmsSKZ+NtIlSFIqggubAdCXq
rpghmT3RgoUArS9l3gKYXgJPT69UyjhTMscVIgv2pKramlwEek4ZYADceFLF2SZfhilJX4qLU5ZA
HBzk83QIUDFQ0LjO3Pwwz5LDtHA3Std/GqBLQEMlesnzZNnka5BJl8YFpLuQhQumkYW6WtxbIFg2
Lk+NO1I16serxHJOFRKoSezh7tBUqBr3QDhUn/NZl3DKp8ON2tf9LGjaz3VvYInlxYdJIKOFlA2n
9DcMi85sYRs1DqBcW9T0aI79LMJ8aga5ZZwPRmmgYafOoRui99AoFDPs9kbS+8MYjTk4drTQJ65y
0/cICzdGtYCIi9sE4sIIIGOaoObToCw/wcnFhrHoNjRCN9M2aFUkrrQLNAEXhdWoCzfCOkBKELIq
3Xyt01U16fXsOFSz86Lo8BfIDwM4HT4qpOCzaI5bBf668TcdD1wwo3ZGY9CkjaNZ7OvStM29Ax2F
izLHDwzCKWFL3YeTMs6ihT1Y0kLSkHLGoIWeC0GFgxqKct9Vk0LciTAnWWoUsmaS6VGUgxWm002i
FPVB2yBiV8jllZehHDpGxiGJ+kXt9XOzjzGy7rFmTMNzJAI3GNvPIitoJqY5BnMX37BJrtMBVEau
P5UJgmQjs9At026zWKlWSp4JB6vs2FDSeumj65dq0Uf84j4lYUFzX3Ei4ceKM2yE3hfezEgNh4sw
Tj51lj0TpOdG1r7IeZPNrNBYtl180UcGIo1C/sj1UXe3YdINVdgy0VX/EJqfAqEUhNvvuquUNknA
vfqqd7tPil5d6hWKel45LlPfOQkrAyFiDLmM+ltvEUJX6MBOGyvKZ0VEKmwrCb4uzYUbjtEkC5UG
BrSHhpfurYq6OCfo+4Jv8NfCANrsgyFE8Cso5uj/KlNdbj62gWzi2gx3OTN9JOWyA4Cb63S0EWX0
CnWqZsoF7K8Fvi2XeSUvJS077eSgm/SBdoFekj2z0cGnZUs6pmn8KLByaapFwaIP4qtAt9JlqgzX
iTf2q2jwVk2LsDqAoTNNpSidaQlWH+DSX8KUvsZB8KnjfrQPHXkgClPkJSbh5SYwo0XSWUxSNdbn
okl1QsVtEVfDiaLotyWCsuAUxXFuWdhCu/4BzSvo8Cv9bRQ456EeWBNTQ19LiXEZrMbhR4fcxQSH
unSG84Y+hcNPabkSdFgLipgbNxewvpg6MPwnkSJlTIBgmBbUM6c6Jim0vV2bfp2CC6fpvDedo8Yo
jnCGu43qXptRwKRRKkL53qgttC7lH2WnH3pZsKK59EtqAZibfrG2NAjaea8gKVa0C7uX2pnamOc6
9YO1V0OaH0OBBqvhEfqKB8PoL7HqOqTj4AzBxMMkDtd+XVy4fvGj7p1qlnblZsjcE0RDL3NbWMWj
gTNBi8yEVM6+VwYZKzcGJs8a4UmWXaUZHWhWB/IUUwYx3K6cd1CIp0HbfXIqPOibTGJNpzkXD6Iv
vVaLGnm/AN+RIWpio+T0KmTqwb9Su9uuBP+xDEjA6aAf+mbypR8YUcVpLrCnVCEzZ59KeG5TbOE+
qbpx63s1MmyRJU9GTUDKGX7F+lc0g360CpMhT83LvOSFwb/CKCCmJq94KZFxYp22YTT3NBRoJK+T
6Ctojw0pOudR4VD7J2Oi6wtDF1S0llRvjC0SFZkGR1teNxmq2I1r92u9My7U3P3sW/BXyzi4TZCJ
ntBvCLuqG1MhmP0RCbxxalr9OBE8Sqf6/xMmLW8zocVRPQ+LdoqSHiK5rWES8dZ99iJ+emedcZm9
iqX+0V96+0J/FHe9Eg67+2J3kd+b14mvaZVvbojsNF34mNHUpaERKj5Evxgfeg8/Rh/J+YCqmCKb
Mj8hxnsyRr8ahbcf8HVI+vo6b375l8GnQUD6LPj880EwP2iaDC4BwHb3ITd7PQiCyGsQ+e3lICj3
b+fFFP2jmWB+cCgFQPACpBOfl4OgYmRjajoFcUDLvRwE0ZKw40yg400xLAOu28spAJ0OYJb+R+N+
oezpGMi7jwHaFkiRQ576xZYAhg1nAyGNh0m3f1uCmLs7TgRbCIYgImiTiz7bC1gGFg7T4OP3m8X9
rfZvDF4VMf98W9Q+IBiJOIrAbcXn5Y5A2k4zJzqu1r7uCA+H1m7bogXL3EC+8n7d86jP5gMHJFQl
/lHuV97+zQRl99UgGoFVqFgEAncfjsHng2B8oGjEILFkxGdfF4UOfLTzxqAaCoATiNPjoz4bCsHj
FnQxqv57ekSogKg7DgJBoQnrnMLj/SC8nA8o38n4MhsoKO7pIIgSyM6D4MAyhIzxsDMwrM9nAnJ9
qEeh7revO4O8+yCgO8zzwUkRktB8XsVNbI98IKrfY8T7tz0Kp6WdZ4Ih+iyAm19OAUIlFBQswuo9
XQeixr/b0+vQeNGVsFQRNIrPq3VAjinr2GkKGi/3+g9PgaelCINg/t94ft7yzwza+oCJEpb2yHlu
PRAIEEzFokuNxOnusw+DwJt4lUe/R+aAYDha4iIJeb4VMkcwK1fQ097Xp7/P7HeJFGHp2CpccUpY
WycCmQMmR9SAhbzff34dvJoCYgf/NxYD13m2GuA74mBH4e3u82ozgABFxY7NYC/HQBCUdh4DoiMU
fGmjfIiOxAg9xdREiAjmBsVzbwOD3VeDzclnqlCuQZHF59UgyB9QV2WY9jZOFl95t6NRcz5Ad9LY
D38RHREnoyuKRLRwVdvDLQHfz90Hwf6Afhidq7zt7VsCMtmO+IeBEp99HYqHd7TLEeF8EMbddFk/
5NE86vOdAdsNyJEYMt7naP/hUIl3/zJKEN4dOy8KaBsqW8NDPPQyZWBRQN5QOEf3Nnnc/YzQIfva
GnDyA4zwMoMGWyOWgBJxP957OBHul+kuqwH4EJAVJPUhcdgyEUTRBRhhX89JQUfafTXoCsiZ86tz
kiPCtkz4R/sZNdLAufMgYGzAGICVUIK7+7xcDYTOKOmAppj7ui8KvuduM4FBQMeBbe81isBmgSYH
Qg8PC2VPYwVRNNttDDRsMbC8wJz6FwGTYAoalF6gAu7pIGj3M3S3fdGhBknr2MNyeLUaFM4GWI8O
3dPis69Doe4eKyDBzxHIjHjIqbcMhWyJsoR6H1vu7Wm5+6yw6SfETBUk6e6lCxWY57HjXe3ahAy7
r0ir8MrabX8QeyREYVaH+YtcQgVzF5I3ews0vWol+/O6LKI/d8oHSPbef17PBLYOBT2qfV0OwpZy
t5mgmcKcQ2TXD3wMHvX5ciCrlFW6ZfcWX3iIanc4KQT0jtCxLWjuv5oJJtUZA+LOnh6Xoltt95mA
7ih580PM8HImKAKKos+ZXGJPB0E0F+48CPSUi6L0r04HkmrUKE1tb4FX0Qu64yAAt8E+Jky+B5Je
H5HyB34o25id7XfgtHMyoVkfiAM4KdGseHzUZ9sjVSlHqKASTTzuHAz+/sEMQk1xt1lBzAAtBRH7
R7zp5f4gerI1RIVMwQDls6/htJCR3W0oNAPC1h0c/UDp4lFfzgrB/QOf29s8+z6k2eHQZGnQS08I
ifbG3ecV7ITcIsgcAgr7el48UM12GQQHlpKGSj/o292HY/jZTGBROAo9d0BPd7Nu/3aGV02Hfx5I
25TuUbY0H+NoJv2zQRDkd1QvgebuZ93+DYJwwN5xT6CNUsVFWH0MIV9tj+RcjkjB7/r393d7fKiq
77AoCKep3UPYQn3n7sPUfzYfgCGBZSjmPWzF+zcfXjnJ/PmiQINIiIPjsL19eyScVtEmgs1xH2ru
63Ep9AR3XBoGzTGqCZGRdFt8Xh6XApbmJKV8u6/7g75z+ESHEGCCOA0fynUv9wfBb3JsAigIDXef
PT0vhKLwjvNB+CshnWWYvzo0ob3KYnEICRTutYf7w+5JFs1SkDqAn38BvIj5wM8o7+5rDPnAQ9zh
pCCG1GTTMf8OHXjfL08KXF4d9sj95jTo7wG/EE4rOmXA7eeFYDsRRNFct6+RpL5zYkWOCcGZ/jDt
V1VcDIhtKv4cJ3u6M7wSsf/zyOEOc8Dd7RGSfRlOi0Qb9TOoPvsaMzy8nV12BqIjajQ62999zMDc
er4zCAU4UaMQesL/9Iz4BwfJ373HUz+Ib+5ak4Pb6okKzG//wmPf7usLPGEB3TGmn/1NIRFzf+17
rpD487+eK8bcHYRPfvp4MN7d6eH3Hx7x9c2f3ezxuR7/4yq4La/L7/5w94Ph4YuKxvD/+T//G/N/
N9cvOUwCJX78b+Ler+Vt/o4S3r56HqS3jxf6aTsueip+Puq/e/Hk+iYrHy/05OIsnJ0vPsECfNsX
Zz7ufO3pdXyNPOp19XitJ9+dlbD79d/SFb/TPdrhlU6ztC6v/5pmVf1q1gAYA9Lv/P1nt/Ffx1m5
dfw5GXa+/jz+a5aVTJ7Haz0Zf7bjna+/KG+rbWpOotFy54sv49s0fbzOky/+HssVjfJvWXxTv768
YO7s/NWxrLstg+v48VI/v73ovtz98umw5Y2K2tnOlz68LbeMuQA4dr90kHpbNgKFHGTna2+uoy17
mABG3+HSVXW7bUzeY4H+3sx3113s6PqGDfhxHJ5MxPdYokfXZbBtaN5jiYprIyi15asLq7udX+vR
bXqTfQ+27V6C2f0O1y+/3948XujnuItsc/eLY6f4/fE6T679Hsv0DX2+neciJ+otJrFbvvl7rNTj
63zbbHmPdXp8216/jh0NxP8en2WHQOMEsWhvy/YlCJQ7T5XT+Pr77ZbYUWCU73DxJtkW3Il26p0v
/jtl/V1n48X195KUIK23nKWiz2XnBxBC4BNskbfe4D2W6v0NyvS6vNm6kQnlzHd5illw620bpfdY
tf9ELn33V53+dZBdF82200pQdN9llDZNUP118i3AeObxij/3ZlF/eJe7vGUe+A7jVF//Nbkuv11v
ixlE+eA9noF7TOPtd3iPo5cZJe5QNuPj1/35GgTCufsj+Ndbc0KBHO5+cTCMrYP/LosZ5/BgyJrH
7/lkYN5lLWd43GyZ/IJ0ufvAIBycbDng9XdZv/V1GlTxdVM9ftMnQ/MuS1fALFvOYdFBt/PQXN76
19uGRtCldr84MX5QbwnaBIF796s37ARbgh8hkfEOFwcgSrbhckK6b+fLf+IKzba1KpQYd776lyze
spSM91inX5pvWxaSaF/7zbfeBsv+Xdh8DdY+qjtu+7XnWLT4G9/j2+vyX/8PAAD//w==</cx:binary>
              </cx:geoCache>
            </cx:geography>
          </cx:layoutPr>
        </cx:series>
      </cx:plotAreaRegion>
    </cx:plotArea>
  </cx:chart>
  <cx:spPr>
    <a:solidFill>
      <a:schemeClr val="accent5">
        <a:lumMod val="60000"/>
        <a:lumOff val="4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22151</xdr:colOff>
      <xdr:row>0</xdr:row>
      <xdr:rowOff>0</xdr:rowOff>
    </xdr:from>
    <xdr:to>
      <xdr:col>24</xdr:col>
      <xdr:colOff>0</xdr:colOff>
      <xdr:row>27</xdr:row>
      <xdr:rowOff>169236</xdr:rowOff>
    </xdr:to>
    <xdr:sp macro="" textlink="">
      <xdr:nvSpPr>
        <xdr:cNvPr id="4" name="Rectangle 3">
          <a:extLst>
            <a:ext uri="{FF2B5EF4-FFF2-40B4-BE49-F238E27FC236}">
              <a16:creationId xmlns:a16="http://schemas.microsoft.com/office/drawing/2014/main" id="{737C8AAF-881B-40F2-89DD-0BE3F04C876E}"/>
            </a:ext>
          </a:extLst>
        </xdr:cNvPr>
        <xdr:cNvSpPr/>
      </xdr:nvSpPr>
      <xdr:spPr>
        <a:xfrm>
          <a:off x="1705639" y="0"/>
          <a:ext cx="12770146" cy="525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a:endPar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7668</xdr:colOff>
      <xdr:row>0</xdr:row>
      <xdr:rowOff>0</xdr:rowOff>
    </xdr:from>
    <xdr:to>
      <xdr:col>4</xdr:col>
      <xdr:colOff>348981</xdr:colOff>
      <xdr:row>54</xdr:row>
      <xdr:rowOff>15874</xdr:rowOff>
    </xdr:to>
    <xdr:sp macro="" textlink="">
      <xdr:nvSpPr>
        <xdr:cNvPr id="3" name="Rectangle 2">
          <a:extLst>
            <a:ext uri="{FF2B5EF4-FFF2-40B4-BE49-F238E27FC236}">
              <a16:creationId xmlns:a16="http://schemas.microsoft.com/office/drawing/2014/main" id="{B8E1D48C-D981-03FD-16CF-3532C234FE6F}"/>
            </a:ext>
          </a:extLst>
        </xdr:cNvPr>
        <xdr:cNvSpPr/>
      </xdr:nvSpPr>
      <xdr:spPr>
        <a:xfrm>
          <a:off x="7668" y="0"/>
          <a:ext cx="2633771" cy="10477230"/>
        </a:xfrm>
        <a:prstGeom prst="rect">
          <a:avLst/>
        </a:prstGeom>
        <a:solidFill>
          <a:schemeClr val="accent5">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0</xdr:col>
      <xdr:colOff>23812</xdr:colOff>
      <xdr:row>5</xdr:row>
      <xdr:rowOff>171745</xdr:rowOff>
    </xdr:from>
    <xdr:to>
      <xdr:col>1</xdr:col>
      <xdr:colOff>710499</xdr:colOff>
      <xdr:row>7</xdr:row>
      <xdr:rowOff>92002</xdr:rowOff>
    </xdr:to>
    <xdr:sp macro="" textlink="'Pivot Table'!G4">
      <xdr:nvSpPr>
        <xdr:cNvPr id="7" name="TextBox 6">
          <a:extLst>
            <a:ext uri="{FF2B5EF4-FFF2-40B4-BE49-F238E27FC236}">
              <a16:creationId xmlns:a16="http://schemas.microsoft.com/office/drawing/2014/main" id="{31EE1910-9D59-2AE4-E8B1-0E5FDC070B21}"/>
            </a:ext>
          </a:extLst>
        </xdr:cNvPr>
        <xdr:cNvSpPr txBox="1"/>
      </xdr:nvSpPr>
      <xdr:spPr>
        <a:xfrm>
          <a:off x="23812" y="1124245"/>
          <a:ext cx="991487" cy="30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25E235-EE8D-4E64-A425-398EA503A8D6}" type="TxLink">
            <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rPr>
            <a:pPr/>
            <a:t>2,400</a:t>
          </a:fld>
          <a:endParaRPr lang="en-US" sz="1800" b="1">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23812</xdr:colOff>
      <xdr:row>19</xdr:row>
      <xdr:rowOff>117919</xdr:rowOff>
    </xdr:from>
    <xdr:to>
      <xdr:col>1</xdr:col>
      <xdr:colOff>710499</xdr:colOff>
      <xdr:row>21</xdr:row>
      <xdr:rowOff>30201</xdr:rowOff>
    </xdr:to>
    <xdr:sp macro="" textlink="'Pivot Table'!J4">
      <xdr:nvSpPr>
        <xdr:cNvPr id="9" name="TextBox 8">
          <a:extLst>
            <a:ext uri="{FF2B5EF4-FFF2-40B4-BE49-F238E27FC236}">
              <a16:creationId xmlns:a16="http://schemas.microsoft.com/office/drawing/2014/main" id="{21D81C69-512A-4024-ACCA-A8475A6CADF2}"/>
            </a:ext>
          </a:extLst>
        </xdr:cNvPr>
        <xdr:cNvSpPr txBox="1"/>
      </xdr:nvSpPr>
      <xdr:spPr>
        <a:xfrm>
          <a:off x="23812" y="3737419"/>
          <a:ext cx="988312" cy="293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fld id="{F960EA29-11AB-4133-A4E2-81AECFC4B637}" type="TxLink">
            <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4.0</a:t>
          </a:fld>
          <a:endPar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15</xdr:row>
      <xdr:rowOff>9894</xdr:rowOff>
    </xdr:from>
    <xdr:to>
      <xdr:col>1</xdr:col>
      <xdr:colOff>686687</xdr:colOff>
      <xdr:row>16</xdr:row>
      <xdr:rowOff>148562</xdr:rowOff>
    </xdr:to>
    <xdr:sp macro="" textlink="'Pivot Table'!I4">
      <xdr:nvSpPr>
        <xdr:cNvPr id="10" name="TextBox 9">
          <a:extLst>
            <a:ext uri="{FF2B5EF4-FFF2-40B4-BE49-F238E27FC236}">
              <a16:creationId xmlns:a16="http://schemas.microsoft.com/office/drawing/2014/main" id="{3ED07F52-8B44-41B9-BA02-599515F6676D}"/>
            </a:ext>
          </a:extLst>
        </xdr:cNvPr>
        <xdr:cNvSpPr txBox="1"/>
      </xdr:nvSpPr>
      <xdr:spPr>
        <a:xfrm>
          <a:off x="0" y="2867394"/>
          <a:ext cx="988312" cy="329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fld id="{9544AEEB-5B4C-48F7-92E0-FC4C40A3B991}" type="TxLink">
            <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$649.0k</a:t>
          </a:fld>
          <a:endPar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10</xdr:row>
      <xdr:rowOff>36919</xdr:rowOff>
    </xdr:from>
    <xdr:to>
      <xdr:col>1</xdr:col>
      <xdr:colOff>686687</xdr:colOff>
      <xdr:row>12</xdr:row>
      <xdr:rowOff>56412</xdr:rowOff>
    </xdr:to>
    <xdr:sp macro="" textlink="'Pivot Table'!H4">
      <xdr:nvSpPr>
        <xdr:cNvPr id="11" name="TextBox 10">
          <a:extLst>
            <a:ext uri="{FF2B5EF4-FFF2-40B4-BE49-F238E27FC236}">
              <a16:creationId xmlns:a16="http://schemas.microsoft.com/office/drawing/2014/main" id="{E08D7D2E-9F59-489C-B295-E6B65671896C}"/>
            </a:ext>
          </a:extLst>
        </xdr:cNvPr>
        <xdr:cNvSpPr txBox="1"/>
      </xdr:nvSpPr>
      <xdr:spPr>
        <a:xfrm>
          <a:off x="0" y="1941919"/>
          <a:ext cx="988312" cy="400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fld id="{E8EE3EB5-0DA4-4F58-ADF4-51B5EA56ECA8}" type="TxLink">
            <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11,997</a:t>
          </a:fld>
          <a:endPar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55562</xdr:colOff>
      <xdr:row>24</xdr:row>
      <xdr:rowOff>161924</xdr:rowOff>
    </xdr:from>
    <xdr:to>
      <xdr:col>1</xdr:col>
      <xdr:colOff>742249</xdr:colOff>
      <xdr:row>26</xdr:row>
      <xdr:rowOff>118508</xdr:rowOff>
    </xdr:to>
    <xdr:sp macro="" textlink="'Pivot Table'!K4">
      <xdr:nvSpPr>
        <xdr:cNvPr id="13" name="TextBox 12">
          <a:extLst>
            <a:ext uri="{FF2B5EF4-FFF2-40B4-BE49-F238E27FC236}">
              <a16:creationId xmlns:a16="http://schemas.microsoft.com/office/drawing/2014/main" id="{17D6EE6E-4E98-4EA4-B0F5-BD272F9F33AF}"/>
            </a:ext>
          </a:extLst>
        </xdr:cNvPr>
        <xdr:cNvSpPr txBox="1"/>
      </xdr:nvSpPr>
      <xdr:spPr>
        <a:xfrm>
          <a:off x="55562" y="4733924"/>
          <a:ext cx="988312" cy="337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fld id="{CEFE2406-F7FB-4893-B2BE-B5E71B7C2222}" type="TxLink">
            <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2.3</a:t>
          </a:fld>
          <a:endParaRPr lang="en-US" sz="1800" b="1" i="0" u="none" strike="noStrike">
            <a:gradFill>
              <a:gsLst>
                <a:gs pos="400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0</xdr:colOff>
      <xdr:row>3</xdr:row>
      <xdr:rowOff>149151</xdr:rowOff>
    </xdr:from>
    <xdr:to>
      <xdr:col>3</xdr:col>
      <xdr:colOff>580703</xdr:colOff>
      <xdr:row>6</xdr:row>
      <xdr:rowOff>29448</xdr:rowOff>
    </xdr:to>
    <xdr:sp macro="" textlink="">
      <xdr:nvSpPr>
        <xdr:cNvPr id="15" name="TextBox 14">
          <a:extLst>
            <a:ext uri="{FF2B5EF4-FFF2-40B4-BE49-F238E27FC236}">
              <a16:creationId xmlns:a16="http://schemas.microsoft.com/office/drawing/2014/main" id="{25EC41B0-33A5-C035-9D40-6100F7E02102}"/>
            </a:ext>
          </a:extLst>
        </xdr:cNvPr>
        <xdr:cNvSpPr txBox="1"/>
      </xdr:nvSpPr>
      <xdr:spPr>
        <a:xfrm>
          <a:off x="0" y="720651"/>
          <a:ext cx="2247578" cy="451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a:t>
          </a:r>
          <a:r>
            <a:rPr lang="en-US" sz="1800" b="1">
              <a:solidFill>
                <a:schemeClr val="bg1"/>
              </a:solidFill>
            </a:rPr>
            <a:t>Orders</a:t>
          </a:r>
        </a:p>
      </xdr:txBody>
    </xdr:sp>
    <xdr:clientData/>
  </xdr:twoCellAnchor>
  <xdr:twoCellAnchor>
    <xdr:from>
      <xdr:col>0</xdr:col>
      <xdr:colOff>0</xdr:colOff>
      <xdr:row>7</xdr:row>
      <xdr:rowOff>183117</xdr:rowOff>
    </xdr:from>
    <xdr:to>
      <xdr:col>3</xdr:col>
      <xdr:colOff>269875</xdr:colOff>
      <xdr:row>10</xdr:row>
      <xdr:rowOff>7407</xdr:rowOff>
    </xdr:to>
    <xdr:sp macro="" textlink="">
      <xdr:nvSpPr>
        <xdr:cNvPr id="17" name="TextBox 16">
          <a:extLst>
            <a:ext uri="{FF2B5EF4-FFF2-40B4-BE49-F238E27FC236}">
              <a16:creationId xmlns:a16="http://schemas.microsoft.com/office/drawing/2014/main" id="{1AA5295F-C048-43A1-9C83-14510981F41E}"/>
            </a:ext>
          </a:extLst>
        </xdr:cNvPr>
        <xdr:cNvSpPr txBox="1"/>
      </xdr:nvSpPr>
      <xdr:spPr>
        <a:xfrm>
          <a:off x="0" y="1516617"/>
          <a:ext cx="1936750" cy="39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a:t>
          </a:r>
          <a:r>
            <a:rPr lang="en-US" sz="1800" b="1">
              <a:solidFill>
                <a:schemeClr val="bg1"/>
              </a:solidFill>
            </a:rPr>
            <a:t>Quantity</a:t>
          </a:r>
        </a:p>
      </xdr:txBody>
    </xdr:sp>
    <xdr:clientData/>
  </xdr:twoCellAnchor>
  <xdr:twoCellAnchor>
    <xdr:from>
      <xdr:col>0</xdr:col>
      <xdr:colOff>0</xdr:colOff>
      <xdr:row>12</xdr:row>
      <xdr:rowOff>153877</xdr:rowOff>
    </xdr:from>
    <xdr:to>
      <xdr:col>3</xdr:col>
      <xdr:colOff>269875</xdr:colOff>
      <xdr:row>14</xdr:row>
      <xdr:rowOff>168667</xdr:rowOff>
    </xdr:to>
    <xdr:sp macro="" textlink="">
      <xdr:nvSpPr>
        <xdr:cNvPr id="18" name="TextBox 17">
          <a:extLst>
            <a:ext uri="{FF2B5EF4-FFF2-40B4-BE49-F238E27FC236}">
              <a16:creationId xmlns:a16="http://schemas.microsoft.com/office/drawing/2014/main" id="{FB6C237A-9DC0-4EE6-BFAE-20FA6D7496C7}"/>
            </a:ext>
          </a:extLst>
        </xdr:cNvPr>
        <xdr:cNvSpPr txBox="1"/>
      </xdr:nvSpPr>
      <xdr:spPr>
        <a:xfrm>
          <a:off x="0" y="2439877"/>
          <a:ext cx="1936750" cy="39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Amount</a:t>
          </a:r>
          <a:endParaRPr lang="en-US" sz="1800" b="1">
            <a:solidFill>
              <a:schemeClr val="bg1"/>
            </a:solidFill>
          </a:endParaRPr>
        </a:p>
      </xdr:txBody>
    </xdr:sp>
    <xdr:clientData/>
  </xdr:twoCellAnchor>
  <xdr:twoCellAnchor>
    <xdr:from>
      <xdr:col>0</xdr:col>
      <xdr:colOff>0</xdr:colOff>
      <xdr:row>17</xdr:row>
      <xdr:rowOff>87276</xdr:rowOff>
    </xdr:from>
    <xdr:to>
      <xdr:col>3</xdr:col>
      <xdr:colOff>269875</xdr:colOff>
      <xdr:row>19</xdr:row>
      <xdr:rowOff>174625</xdr:rowOff>
    </xdr:to>
    <xdr:sp macro="" textlink="">
      <xdr:nvSpPr>
        <xdr:cNvPr id="19" name="TextBox 18">
          <a:extLst>
            <a:ext uri="{FF2B5EF4-FFF2-40B4-BE49-F238E27FC236}">
              <a16:creationId xmlns:a16="http://schemas.microsoft.com/office/drawing/2014/main" id="{DA4422AC-9413-4536-AC15-0CE0EEAD4E2E}"/>
            </a:ext>
          </a:extLst>
        </xdr:cNvPr>
        <xdr:cNvSpPr txBox="1"/>
      </xdr:nvSpPr>
      <xdr:spPr>
        <a:xfrm>
          <a:off x="0" y="3325776"/>
          <a:ext cx="1936750" cy="468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a:t>
          </a:r>
          <a:r>
            <a:rPr lang="en-US" sz="1800" b="1">
              <a:solidFill>
                <a:schemeClr val="bg1"/>
              </a:solidFill>
            </a:rPr>
            <a:t>Avg</a:t>
          </a:r>
          <a:r>
            <a:rPr lang="en-US" sz="1800" b="1" baseline="0">
              <a:solidFill>
                <a:schemeClr val="bg1"/>
              </a:solidFill>
            </a:rPr>
            <a:t> Rating</a:t>
          </a:r>
          <a:endParaRPr lang="en-US" sz="1800" b="1">
            <a:solidFill>
              <a:schemeClr val="bg1"/>
            </a:solidFill>
          </a:endParaRPr>
        </a:p>
      </xdr:txBody>
    </xdr:sp>
    <xdr:clientData/>
  </xdr:twoCellAnchor>
  <xdr:twoCellAnchor>
    <xdr:from>
      <xdr:col>0</xdr:col>
      <xdr:colOff>0</xdr:colOff>
      <xdr:row>22</xdr:row>
      <xdr:rowOff>80040</xdr:rowOff>
    </xdr:from>
    <xdr:to>
      <xdr:col>4</xdr:col>
      <xdr:colOff>505713</xdr:colOff>
      <xdr:row>24</xdr:row>
      <xdr:rowOff>127689</xdr:rowOff>
    </xdr:to>
    <xdr:sp macro="" textlink="">
      <xdr:nvSpPr>
        <xdr:cNvPr id="20" name="TextBox 19">
          <a:extLst>
            <a:ext uri="{FF2B5EF4-FFF2-40B4-BE49-F238E27FC236}">
              <a16:creationId xmlns:a16="http://schemas.microsoft.com/office/drawing/2014/main" id="{10EBDC42-5206-4756-B524-E66CED6558D7}"/>
            </a:ext>
          </a:extLst>
        </xdr:cNvPr>
        <xdr:cNvSpPr txBox="1"/>
      </xdr:nvSpPr>
      <xdr:spPr>
        <a:xfrm>
          <a:off x="0" y="4271040"/>
          <a:ext cx="2775838" cy="4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 </a:t>
          </a:r>
          <a:r>
            <a:rPr lang="en-US" sz="1800" b="1">
              <a:solidFill>
                <a:schemeClr val="bg1"/>
              </a:solidFill>
            </a:rPr>
            <a:t>Days</a:t>
          </a:r>
          <a:r>
            <a:rPr lang="en-US" sz="1800" b="1" baseline="0">
              <a:solidFill>
                <a:schemeClr val="bg1"/>
              </a:solidFill>
            </a:rPr>
            <a:t> To Deliver</a:t>
          </a:r>
          <a:endParaRPr lang="en-US" sz="1800" b="1">
            <a:solidFill>
              <a:schemeClr val="bg1"/>
            </a:solidFill>
          </a:endParaRPr>
        </a:p>
      </xdr:txBody>
    </xdr:sp>
    <xdr:clientData/>
  </xdr:twoCellAnchor>
  <xdr:twoCellAnchor>
    <xdr:from>
      <xdr:col>4</xdr:col>
      <xdr:colOff>365125</xdr:colOff>
      <xdr:row>0</xdr:row>
      <xdr:rowOff>22149</xdr:rowOff>
    </xdr:from>
    <xdr:to>
      <xdr:col>32</xdr:col>
      <xdr:colOff>69695</xdr:colOff>
      <xdr:row>54</xdr:row>
      <xdr:rowOff>23231</xdr:rowOff>
    </xdr:to>
    <xdr:sp macro="" textlink="">
      <xdr:nvSpPr>
        <xdr:cNvPr id="21" name="Rectangle 20">
          <a:extLst>
            <a:ext uri="{FF2B5EF4-FFF2-40B4-BE49-F238E27FC236}">
              <a16:creationId xmlns:a16="http://schemas.microsoft.com/office/drawing/2014/main" id="{E41EAC21-E5FF-4ECC-BB17-89958B7D78BC}"/>
            </a:ext>
          </a:extLst>
        </xdr:cNvPr>
        <xdr:cNvSpPr/>
      </xdr:nvSpPr>
      <xdr:spPr>
        <a:xfrm>
          <a:off x="2641832" y="22149"/>
          <a:ext cx="16617253" cy="1003718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32299</xdr:colOff>
      <xdr:row>1</xdr:row>
      <xdr:rowOff>74931</xdr:rowOff>
    </xdr:from>
    <xdr:to>
      <xdr:col>13</xdr:col>
      <xdr:colOff>441414</xdr:colOff>
      <xdr:row>19</xdr:row>
      <xdr:rowOff>1</xdr:rowOff>
    </xdr:to>
    <xdr:graphicFrame macro="">
      <xdr:nvGraphicFramePr>
        <xdr:cNvPr id="22" name="Chart 21">
          <a:extLst>
            <a:ext uri="{FF2B5EF4-FFF2-40B4-BE49-F238E27FC236}">
              <a16:creationId xmlns:a16="http://schemas.microsoft.com/office/drawing/2014/main" id="{FBF78B43-54FC-42E5-845F-EB2748F84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84159</xdr:colOff>
      <xdr:row>1</xdr:row>
      <xdr:rowOff>79374</xdr:rowOff>
    </xdr:from>
    <xdr:to>
      <xdr:col>22</xdr:col>
      <xdr:colOff>138856</xdr:colOff>
      <xdr:row>18</xdr:row>
      <xdr:rowOff>174625</xdr:rowOff>
    </xdr:to>
    <xdr:sp macro="" textlink="">
      <xdr:nvSpPr>
        <xdr:cNvPr id="29" name="Rectangle 28">
          <a:extLst>
            <a:ext uri="{FF2B5EF4-FFF2-40B4-BE49-F238E27FC236}">
              <a16:creationId xmlns:a16="http://schemas.microsoft.com/office/drawing/2014/main" id="{A130E771-4822-FF0B-BBBA-8536443852C0}"/>
            </a:ext>
          </a:extLst>
        </xdr:cNvPr>
        <xdr:cNvSpPr/>
      </xdr:nvSpPr>
      <xdr:spPr>
        <a:xfrm>
          <a:off x="8386784" y="269874"/>
          <a:ext cx="4880697" cy="3333751"/>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14</xdr:col>
          <xdr:colOff>218707</xdr:colOff>
          <xdr:row>3</xdr:row>
          <xdr:rowOff>31750</xdr:rowOff>
        </xdr:from>
        <xdr:to>
          <xdr:col>21</xdr:col>
          <xdr:colOff>556593</xdr:colOff>
          <xdr:row>18</xdr:row>
          <xdr:rowOff>136786</xdr:rowOff>
        </xdr:to>
        <xdr:pic>
          <xdr:nvPicPr>
            <xdr:cNvPr id="27" name="Picture 26">
              <a:extLst>
                <a:ext uri="{FF2B5EF4-FFF2-40B4-BE49-F238E27FC236}">
                  <a16:creationId xmlns:a16="http://schemas.microsoft.com/office/drawing/2014/main" id="{A5118444-D460-5073-8FF0-26215198CE2C}"/>
                </a:ext>
              </a:extLst>
            </xdr:cNvPr>
            <xdr:cNvPicPr>
              <a:picLocks noChangeAspect="1" noChangeArrowheads="1"/>
              <a:extLst>
                <a:ext uri="{84589F7E-364E-4C9E-8A38-B11213B215E9}">
                  <a14:cameraTool cellRange="Sheet1!$I$4:$M$9" spid="_x0000_s3121"/>
                </a:ext>
              </a:extLst>
            </xdr:cNvPicPr>
          </xdr:nvPicPr>
          <xdr:blipFill>
            <a:blip xmlns:r="http://schemas.openxmlformats.org/officeDocument/2006/relationships" r:embed="rId2"/>
            <a:srcRect/>
            <a:stretch>
              <a:fillRect/>
            </a:stretch>
          </xdr:blipFill>
          <xdr:spPr bwMode="auto">
            <a:xfrm>
              <a:off x="8521332" y="603250"/>
              <a:ext cx="4560636" cy="29625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358506</xdr:colOff>
      <xdr:row>1</xdr:row>
      <xdr:rowOff>79375</xdr:rowOff>
    </xdr:from>
    <xdr:to>
      <xdr:col>30</xdr:col>
      <xdr:colOff>582625</xdr:colOff>
      <xdr:row>19</xdr:row>
      <xdr:rowOff>0</xdr:rowOff>
    </xdr:to>
    <xdr:graphicFrame macro="">
      <xdr:nvGraphicFramePr>
        <xdr:cNvPr id="30" name="Chart 29">
          <a:extLst>
            <a:ext uri="{FF2B5EF4-FFF2-40B4-BE49-F238E27FC236}">
              <a16:creationId xmlns:a16="http://schemas.microsoft.com/office/drawing/2014/main" id="{29CDA60F-95A4-48C7-86E7-345D4C34E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23589</xdr:colOff>
      <xdr:row>20</xdr:row>
      <xdr:rowOff>85058</xdr:rowOff>
    </xdr:from>
    <xdr:to>
      <xdr:col>14</xdr:col>
      <xdr:colOff>279966</xdr:colOff>
      <xdr:row>51</xdr:row>
      <xdr:rowOff>178440</xdr:rowOff>
    </xdr:to>
    <xdr:graphicFrame macro="">
      <xdr:nvGraphicFramePr>
        <xdr:cNvPr id="31" name="Chart 30">
          <a:extLst>
            <a:ext uri="{FF2B5EF4-FFF2-40B4-BE49-F238E27FC236}">
              <a16:creationId xmlns:a16="http://schemas.microsoft.com/office/drawing/2014/main" id="{660C0EFB-CD4D-424E-886C-EBF320FF2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412432</xdr:colOff>
      <xdr:row>31</xdr:row>
      <xdr:rowOff>130071</xdr:rowOff>
    </xdr:from>
    <xdr:to>
      <xdr:col>12</xdr:col>
      <xdr:colOff>398002</xdr:colOff>
      <xdr:row>44</xdr:row>
      <xdr:rowOff>115641</xdr:rowOff>
    </xdr:to>
    <xdr:graphicFrame macro="">
      <xdr:nvGraphicFramePr>
        <xdr:cNvPr id="32" name="Chart 31">
          <a:extLst>
            <a:ext uri="{FF2B5EF4-FFF2-40B4-BE49-F238E27FC236}">
              <a16:creationId xmlns:a16="http://schemas.microsoft.com/office/drawing/2014/main" id="{5CFDB350-5C88-4F21-BE7B-D22E0A590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541253</xdr:colOff>
      <xdr:row>20</xdr:row>
      <xdr:rowOff>51237</xdr:rowOff>
    </xdr:from>
    <xdr:to>
      <xdr:col>22</xdr:col>
      <xdr:colOff>160255</xdr:colOff>
      <xdr:row>51</xdr:row>
      <xdr:rowOff>144620</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24B60717-C7A8-47A9-AE6B-1FEF6AB2FA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923253" y="3861237"/>
              <a:ext cx="4495802" cy="59988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119620</xdr:colOff>
      <xdr:row>26</xdr:row>
      <xdr:rowOff>163733</xdr:rowOff>
    </xdr:from>
    <xdr:to>
      <xdr:col>21</xdr:col>
      <xdr:colOff>247739</xdr:colOff>
      <xdr:row>34</xdr:row>
      <xdr:rowOff>65934</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2A041950-430A-40CA-8933-8909A093E6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549620" y="5116733"/>
              <a:ext cx="1347319" cy="14262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378320</xdr:colOff>
      <xdr:row>19</xdr:row>
      <xdr:rowOff>182636</xdr:rowOff>
    </xdr:from>
    <xdr:to>
      <xdr:col>31</xdr:col>
      <xdr:colOff>49208</xdr:colOff>
      <xdr:row>36</xdr:row>
      <xdr:rowOff>113237</xdr:rowOff>
    </xdr:to>
    <xdr:graphicFrame macro="">
      <xdr:nvGraphicFramePr>
        <xdr:cNvPr id="39" name="Chart 38">
          <a:extLst>
            <a:ext uri="{FF2B5EF4-FFF2-40B4-BE49-F238E27FC236}">
              <a16:creationId xmlns:a16="http://schemas.microsoft.com/office/drawing/2014/main" id="{27118BDF-A2B6-4C04-8997-50D99267A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389205</xdr:colOff>
      <xdr:row>37</xdr:row>
      <xdr:rowOff>86652</xdr:rowOff>
    </xdr:from>
    <xdr:to>
      <xdr:col>31</xdr:col>
      <xdr:colOff>79617</xdr:colOff>
      <xdr:row>52</xdr:row>
      <xdr:rowOff>15649</xdr:rowOff>
    </xdr:to>
    <xdr:graphicFrame macro="">
      <xdr:nvGraphicFramePr>
        <xdr:cNvPr id="40" name="Chart 39">
          <a:extLst>
            <a:ext uri="{FF2B5EF4-FFF2-40B4-BE49-F238E27FC236}">
              <a16:creationId xmlns:a16="http://schemas.microsoft.com/office/drawing/2014/main" id="{E9F92442-F400-4EA8-93B2-C0A35027F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150091</xdr:colOff>
      <xdr:row>28</xdr:row>
      <xdr:rowOff>59169</xdr:rowOff>
    </xdr:from>
    <xdr:to>
      <xdr:col>4</xdr:col>
      <xdr:colOff>206376</xdr:colOff>
      <xdr:row>39</xdr:row>
      <xdr:rowOff>47625</xdr:rowOff>
    </xdr:to>
    <mc:AlternateContent xmlns:mc="http://schemas.openxmlformats.org/markup-compatibility/2006" xmlns:a14="http://schemas.microsoft.com/office/drawing/2010/main">
      <mc:Choice Requires="a14">
        <xdr:graphicFrame macro="">
          <xdr:nvGraphicFramePr>
            <xdr:cNvPr id="41" name="Order Mode 1">
              <a:extLst>
                <a:ext uri="{FF2B5EF4-FFF2-40B4-BE49-F238E27FC236}">
                  <a16:creationId xmlns:a16="http://schemas.microsoft.com/office/drawing/2014/main" id="{1C3F8103-69EE-46BF-AD76-F107DDE24C6A}"/>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50091" y="5393169"/>
              <a:ext cx="2326410" cy="2083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172757</xdr:colOff>
      <xdr:row>40</xdr:row>
      <xdr:rowOff>114861</xdr:rowOff>
    </xdr:from>
    <xdr:to>
      <xdr:col>4</xdr:col>
      <xdr:colOff>206375</xdr:colOff>
      <xdr:row>49</xdr:row>
      <xdr:rowOff>174626</xdr:rowOff>
    </xdr:to>
    <mc:AlternateContent xmlns:mc="http://schemas.openxmlformats.org/markup-compatibility/2006" xmlns:a14="http://schemas.microsoft.com/office/drawing/2010/main">
      <mc:Choice Requires="a14">
        <xdr:graphicFrame macro="">
          <xdr:nvGraphicFramePr>
            <xdr:cNvPr id="42" name="Gender Value">
              <a:extLst>
                <a:ext uri="{FF2B5EF4-FFF2-40B4-BE49-F238E27FC236}">
                  <a16:creationId xmlns:a16="http://schemas.microsoft.com/office/drawing/2014/main" id="{13DA2D26-D98C-46BB-84AD-75092CC66713}"/>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72757" y="7734861"/>
              <a:ext cx="2303743" cy="1774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381000</xdr:colOff>
      <xdr:row>1</xdr:row>
      <xdr:rowOff>142876</xdr:rowOff>
    </xdr:from>
    <xdr:to>
      <xdr:col>21</xdr:col>
      <xdr:colOff>79375</xdr:colOff>
      <xdr:row>3</xdr:row>
      <xdr:rowOff>95250</xdr:rowOff>
    </xdr:to>
    <xdr:sp macro="" textlink="">
      <xdr:nvSpPr>
        <xdr:cNvPr id="43" name="TextBox 42">
          <a:extLst>
            <a:ext uri="{FF2B5EF4-FFF2-40B4-BE49-F238E27FC236}">
              <a16:creationId xmlns:a16="http://schemas.microsoft.com/office/drawing/2014/main" id="{9874B9DE-C4B9-BB41-2162-CDB963BB2DF7}"/>
            </a:ext>
          </a:extLst>
        </xdr:cNvPr>
        <xdr:cNvSpPr txBox="1"/>
      </xdr:nvSpPr>
      <xdr:spPr>
        <a:xfrm>
          <a:off x="9286875" y="333376"/>
          <a:ext cx="3317875"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How our customers like to buy</a:t>
          </a:r>
        </a:p>
      </xdr:txBody>
    </xdr:sp>
    <xdr:clientData/>
  </xdr:twoCellAnchor>
  <xdr:twoCellAnchor editAs="oneCell">
    <xdr:from>
      <xdr:col>0</xdr:col>
      <xdr:colOff>0</xdr:colOff>
      <xdr:row>0</xdr:row>
      <xdr:rowOff>0</xdr:rowOff>
    </xdr:from>
    <xdr:to>
      <xdr:col>4</xdr:col>
      <xdr:colOff>365125</xdr:colOff>
      <xdr:row>4</xdr:row>
      <xdr:rowOff>64588</xdr:rowOff>
    </xdr:to>
    <xdr:pic>
      <xdr:nvPicPr>
        <xdr:cNvPr id="44" name="Picture 43">
          <a:extLst>
            <a:ext uri="{FF2B5EF4-FFF2-40B4-BE49-F238E27FC236}">
              <a16:creationId xmlns:a16="http://schemas.microsoft.com/office/drawing/2014/main" id="{DB20488C-2C85-4260-801A-6EE5C9990FB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0" y="0"/>
          <a:ext cx="2635250" cy="8265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7.41593333333" createdVersion="8" refreshedVersion="8" minRefreshableVersion="3" recordCount="2400" xr:uid="{F7E33D90-2289-4B1F-B382-F5F8D65A831A}">
  <cacheSource type="worksheet">
    <worksheetSource name="orders"/>
  </cacheSource>
  <cacheFields count="19">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8"/>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par="16" base="2">
        <discretePr count="48">
          <x v="0"/>
          <x v="1"/>
          <x v="2"/>
          <x v="6"/>
          <x v="7"/>
          <x v="3"/>
          <x v="7"/>
          <x v="6"/>
          <x v="6"/>
          <x v="4"/>
          <x v="7"/>
          <x v="6"/>
          <x v="5"/>
          <x v="6"/>
          <x v="7"/>
          <x v="7"/>
          <x v="7"/>
          <x v="7"/>
          <x v="7"/>
          <x v="7"/>
          <x v="7"/>
          <x v="7"/>
          <x v="7"/>
          <x v="7"/>
          <x v="7"/>
          <x v="7"/>
          <x v="7"/>
          <x v="7"/>
          <x v="7"/>
          <x v="7"/>
          <x v="7"/>
          <x v="7"/>
          <x v="7"/>
          <x v="7"/>
          <x v="7"/>
          <x v="7"/>
          <x v="7"/>
          <x v="7"/>
          <x v="7"/>
          <x v="7"/>
          <x v="7"/>
          <x v="7"/>
          <x v="7"/>
          <x v="7"/>
          <x v="7"/>
          <x v="7"/>
          <x v="7"/>
          <x v="7"/>
        </discretePr>
        <groupItems count="8">
          <n v="1"/>
          <n v="2"/>
          <n v="3"/>
          <n v="11"/>
          <n v="5"/>
          <n v="4"/>
          <s v="Group1"/>
          <s v="Group2"/>
        </groupItems>
      </fieldGroup>
    </cacheField>
    <cacheField name="Quantity3"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288545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06571-0761-480D-8F73-CC486CB08A5E}" name="PvtSummary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4" firstHeaderRow="0" firstDataRow="1" firstDataCol="0"/>
  <pivotFields count="19">
    <pivotField dataField="1" compact="0" outline="0" showAll="0"/>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dataField="1" compact="0" outline="0" showAll="0"/>
    <pivotField compact="0" outline="0" showAll="0"/>
    <pivotField compact="0" outline="0" showAll="0"/>
    <pivotField dataField="1" compact="0" outline="0" showAll="0"/>
    <pivotField compact="0" outline="0" showAll="0"/>
    <pivotField compact="0" outline="0" showAll="0">
      <items count="5">
        <item x="2"/>
        <item x="1"/>
        <item x="3"/>
        <item x="0"/>
        <item t="default"/>
      </items>
    </pivotField>
    <pivotField compact="0" outline="0" subtotalTop="0" showAll="0">
      <items count="9">
        <item x="0"/>
        <item x="1"/>
        <item x="2"/>
        <item x="5"/>
        <item x="4"/>
        <item x="6"/>
        <item x="3"/>
        <item x="7"/>
        <item t="default"/>
      </items>
    </pivotField>
    <pivotField compact="0" outline="0" subtotalTop="0" showAll="0">
      <items count="8">
        <item x="0"/>
        <item x="1"/>
        <item x="2"/>
        <item x="4"/>
        <item x="3"/>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EDA6C8-46D1-47D7-8834-C4494E68D86E}" name="PvtWeek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9:C23" firstHeaderRow="0" firstDataRow="1" firstDataCol="1"/>
  <pivotFields count="19">
    <pivotField compact="0" outline="0" showAll="0"/>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5">
        <item x="2"/>
        <item x="1"/>
        <item x="3"/>
        <item x="0"/>
        <item t="default"/>
      </items>
    </pivotField>
    <pivotField compact="0" outline="0" subtotalTop="0" showAll="0">
      <items count="9">
        <item x="0"/>
        <item x="1"/>
        <item x="2"/>
        <item x="5"/>
        <item x="4"/>
        <item x="6"/>
        <item x="3"/>
        <item x="7"/>
        <item t="default"/>
      </items>
    </pivotField>
    <pivotField compact="0" outline="0" subtotalTop="0" showAll="0">
      <items count="8">
        <item x="0"/>
        <item x="1"/>
        <item x="2"/>
        <item x="4"/>
        <item x="3"/>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F68E4F-612D-40CA-B8D6-3CCF78F18D4F}"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F10" firstHeaderRow="1" firstDataRow="2" firstDataCol="1"/>
  <pivotFields count="19">
    <pivotField compact="0" outline="0" showAll="0"/>
    <pivotField compact="0" outline="0" showAll="0">
      <items count="21">
        <item x="14"/>
        <item x="10"/>
        <item x="12"/>
        <item x="15"/>
        <item x="4"/>
        <item x="7"/>
        <item x="6"/>
        <item x="19"/>
        <item x="18"/>
        <item x="11"/>
        <item x="17"/>
        <item x="5"/>
        <item x="0"/>
        <item x="2"/>
        <item x="9"/>
        <item x="16"/>
        <item x="1"/>
        <item x="13"/>
        <item x="8"/>
        <item x="3"/>
        <item t="default"/>
      </items>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axis="axisRow"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compact="0" outline="0" subtotalTop="0" showAll="0">
      <items count="9">
        <item x="0"/>
        <item x="1"/>
        <item x="2"/>
        <item x="5"/>
        <item x="4"/>
        <item x="6"/>
        <item x="3"/>
        <item x="7"/>
        <item t="default"/>
      </items>
    </pivotField>
    <pivotField compact="0" outline="0" subtotalTop="0" showAll="0">
      <items count="8">
        <item x="0"/>
        <item x="1"/>
        <item x="2"/>
        <item x="4"/>
        <item x="3"/>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7B7FAD-71FE-4434-B1B0-8FFC206D1928}"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1:B9" firstHeaderRow="1" firstDataRow="1" firstDataCol="1"/>
  <pivotFields count="19">
    <pivotField dataField="1"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compact="0" outline="0" showAll="0">
      <items count="5">
        <item x="2"/>
        <item x="1"/>
        <item x="3"/>
        <item x="0"/>
        <item t="default"/>
      </items>
    </pivotField>
    <pivotField compact="0" outline="0" subtotalTop="0" showAll="0">
      <items count="9">
        <item x="0"/>
        <item x="1"/>
        <item x="2"/>
        <item x="5"/>
        <item x="4"/>
        <item n="6 To 10" sd="0" x="6"/>
        <item x="3"/>
        <item n="10 Above" sd="0" x="7"/>
        <item t="default"/>
      </items>
    </pivotField>
    <pivotField axis="axisRow" compact="0" outline="0" subtotalTop="0" showAll="0">
      <items count="8">
        <item sd="0" x="0"/>
        <item sd="0" x="1"/>
        <item sd="0" x="2"/>
        <item sd="0" x="4"/>
        <item sd="0" x="3"/>
        <item n="6 To 10" sd="0" x="5"/>
        <item n="More than 10" sd="0"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6"/>
  </rowFields>
  <rowItems count="8">
    <i>
      <x/>
    </i>
    <i>
      <x v="1"/>
    </i>
    <i>
      <x v="2"/>
    </i>
    <i>
      <x v="3"/>
    </i>
    <i>
      <x v="4"/>
    </i>
    <i>
      <x v="5"/>
    </i>
    <i>
      <x v="6"/>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919A8A-A7E1-44D0-AD3F-EDB809A80CC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F25" firstHeaderRow="1" firstDataRow="2" firstDataCol="1"/>
  <pivotFields count="19">
    <pivotField compact="0" outline="0" showAll="0"/>
    <pivotField axis="axisRow"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compact="0" outline="0" showAll="0">
      <items count="9">
        <item x="0"/>
        <item x="1"/>
        <item x="2"/>
        <item x="3"/>
        <item x="4"/>
        <item x="5"/>
        <item x="6"/>
        <item x="7"/>
        <item t="default"/>
      </items>
    </pivotField>
    <pivotField compact="0" outline="0" showAll="0">
      <items count="8">
        <item x="0"/>
        <item x="1"/>
        <item x="2"/>
        <item x="3"/>
        <item x="4"/>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0"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D84913-D97F-488C-9F5E-CB2159B30E58}"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I3:J8" firstHeaderRow="1" firstDataRow="1" firstDataCol="1"/>
  <pivotFields count="19">
    <pivotField compact="0" outline="0" showAll="0"/>
    <pivotField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items count="5">
        <item x="0"/>
        <item x="2"/>
        <item x="1"/>
        <item x="3"/>
        <item t="default"/>
      </items>
    </pivotField>
    <pivotField compact="0" outline="0" showAll="0">
      <items count="6">
        <item x="0"/>
        <item x="3"/>
        <item x="4"/>
        <item x="2"/>
        <item x="1"/>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2"/>
        <item x="1"/>
        <item x="3"/>
        <item x="0"/>
        <item t="default"/>
      </items>
    </pivotField>
    <pivotField compact="0" outline="0" showAll="0">
      <items count="9">
        <item x="0"/>
        <item x="1"/>
        <item x="2"/>
        <item x="3"/>
        <item x="4"/>
        <item x="5"/>
        <item x="6"/>
        <item x="7"/>
        <item t="default"/>
      </items>
    </pivotField>
    <pivotField compact="0" outline="0" showAll="0">
      <items count="8">
        <item x="0"/>
        <item x="1"/>
        <item x="2"/>
        <item x="3"/>
        <item x="4"/>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4" count="1" selected="0">
            <x v="0"/>
          </reference>
        </references>
      </pivotArea>
    </chartFormat>
    <chartFormat chart="18" format="8">
      <pivotArea type="data" outline="0" fieldPosition="0">
        <references count="2">
          <reference field="4294967294" count="1" selected="0">
            <x v="0"/>
          </reference>
          <reference field="14" count="1" selected="0">
            <x v="1"/>
          </reference>
        </references>
      </pivotArea>
    </chartFormat>
    <chartFormat chart="18" format="9">
      <pivotArea type="data" outline="0" fieldPosition="0">
        <references count="2">
          <reference field="4294967294" count="1" selected="0">
            <x v="0"/>
          </reference>
          <reference field="14" count="1" selected="0">
            <x v="2"/>
          </reference>
        </references>
      </pivotArea>
    </chartFormat>
    <chartFormat chart="1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526B7F-51EF-41EB-A577-A01A4BA5CAB3}"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3" firstHeaderRow="0" firstDataRow="1" firstDataCol="2"/>
  <pivotFields count="19">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items count="9">
        <item x="0"/>
        <item x="1"/>
        <item x="2"/>
        <item x="3"/>
        <item x="4"/>
        <item x="5"/>
        <item x="6"/>
        <item x="7"/>
        <item t="default"/>
      </items>
      <extLst>
        <ext xmlns:x14="http://schemas.microsoft.com/office/spreadsheetml/2009/9/main" uri="{2946ED86-A175-432a-8AC1-64E0C546D7DE}">
          <x14:pivotField fillDownLabels="1"/>
        </ext>
      </extLst>
    </pivotField>
    <pivotField compact="0" outline="0" showAll="0">
      <items count="8">
        <item x="0"/>
        <item x="1"/>
        <item x="2"/>
        <item x="3"/>
        <item x="4"/>
        <item x="5"/>
        <item x="6"/>
        <item t="default"/>
      </items>
      <extLst>
        <ext xmlns:x14="http://schemas.microsoft.com/office/spreadsheetml/2009/9/main" uri="{2946ED86-A175-432a-8AC1-64E0C546D7DE}">
          <x14:pivotField fillDownLabels="1"/>
        </ext>
      </extLst>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ubtotalTop="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5844A4-79B4-4ACD-8801-7D1AB491B4A4}"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19" firstHeaderRow="1" firstDataRow="1" firstDataCol="1"/>
  <pivotFields count="19">
    <pivotField dataField="1" compact="0" outline="0" showAll="0"/>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compact="0" outline="0" showAll="0"/>
    <pivotField compact="0" outline="0" showAll="0"/>
    <pivotField compact="0" outline="0" showAll="0"/>
    <pivotField axis="axisRow" compact="0" outline="0" showAll="0">
      <items count="16">
        <item x="7"/>
        <item x="3"/>
        <item x="1"/>
        <item x="2"/>
        <item x="5"/>
        <item x="0"/>
        <item x="4"/>
        <item x="6"/>
        <item x="9"/>
        <item x="8"/>
        <item x="14"/>
        <item x="11"/>
        <item x="13"/>
        <item x="10"/>
        <item x="12"/>
        <item t="default"/>
      </items>
    </pivotField>
    <pivotField compact="0" outline="0" showAll="0"/>
    <pivotField compact="0" outline="0" showAll="0">
      <items count="5">
        <item x="2"/>
        <item x="1"/>
        <item x="3"/>
        <item x="0"/>
        <item t="default"/>
      </items>
    </pivotField>
    <pivotField compact="0" outline="0" showAll="0">
      <items count="9">
        <item x="0"/>
        <item x="1"/>
        <item x="2"/>
        <item x="3"/>
        <item x="4"/>
        <item x="5"/>
        <item x="6"/>
        <item x="7"/>
        <item t="default"/>
      </items>
    </pivotField>
    <pivotField compact="0" outline="0" showAll="0">
      <items count="8">
        <item x="0"/>
        <item x="1"/>
        <item x="2"/>
        <item x="3"/>
        <item x="4"/>
        <item x="5"/>
        <item x="6"/>
        <item t="default"/>
      </items>
    </pivotField>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0E8D3B-527D-4741-B699-F54877BAEE8B}"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D3:J8" firstHeaderRow="1" firstDataRow="2" firstDataCol="1"/>
  <pivotFields count="19">
    <pivotField dataField="1" compact="0" outline="0" showAll="0"/>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axis="axisCol" compact="0" outline="0" showAll="0">
      <items count="6">
        <item x="3"/>
        <item x="4"/>
        <item x="1"/>
        <item x="0"/>
        <item x="2"/>
        <item t="default"/>
      </items>
    </pivotField>
    <pivotField compact="0" outline="0" showAll="0"/>
    <pivotField compact="0" outline="0" showAll="0"/>
    <pivotField compact="0" outline="0" showAll="0"/>
    <pivotField compact="0" outline="0" showAll="0"/>
    <pivotField compact="0" outline="0" showAll="0">
      <items count="5">
        <item x="2"/>
        <item x="1"/>
        <item x="3"/>
        <item x="0"/>
        <item t="default"/>
      </items>
    </pivotField>
    <pivotField compact="0" outline="0" showAll="0">
      <items count="9">
        <item x="0"/>
        <item x="1"/>
        <item x="2"/>
        <item x="3"/>
        <item x="4"/>
        <item x="5"/>
        <item x="6"/>
        <item x="7"/>
        <item t="default"/>
      </items>
    </pivotField>
    <pivotField compact="0" outline="0" showAll="0">
      <items count="8">
        <item x="0"/>
        <item x="1"/>
        <item x="2"/>
        <item x="3"/>
        <item x="4"/>
        <item x="5"/>
        <item x="6"/>
        <item t="default"/>
      </items>
    </pivotField>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7" format="10" series="1">
      <pivotArea type="data" outline="0" fieldPosition="0">
        <references count="2">
          <reference field="4294967294" count="1" selected="0">
            <x v="0"/>
          </reference>
          <reference field="9" count="1" selected="0">
            <x v="0"/>
          </reference>
        </references>
      </pivotArea>
    </chartFormat>
    <chartFormat chart="7" format="11" series="1">
      <pivotArea type="data" outline="0" fieldPosition="0">
        <references count="2">
          <reference field="4294967294" count="1" selected="0">
            <x v="0"/>
          </reference>
          <reference field="9" count="1" selected="0">
            <x v="1"/>
          </reference>
        </references>
      </pivotArea>
    </chartFormat>
    <chartFormat chart="7" format="12" series="1">
      <pivotArea type="data" outline="0" fieldPosition="0">
        <references count="2">
          <reference field="4294967294" count="1" selected="0">
            <x v="0"/>
          </reference>
          <reference field="9" count="1" selected="0">
            <x v="2"/>
          </reference>
        </references>
      </pivotArea>
    </chartFormat>
    <chartFormat chart="7" format="13" series="1">
      <pivotArea type="data" outline="0" fieldPosition="0">
        <references count="2">
          <reference field="4294967294" count="1" selected="0">
            <x v="0"/>
          </reference>
          <reference field="9" count="1" selected="0">
            <x v="3"/>
          </reference>
        </references>
      </pivotArea>
    </chartFormat>
    <chartFormat chart="7"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35D0A27B-47E1-473A-8921-8A0E714CD2D1}" sourceName="Order Mode">
  <pivotTables>
    <pivotTable tabId="12" name="PivotTable12"/>
    <pivotTable tabId="11" name="PivotTable7"/>
    <pivotTable tabId="6" name="PvtSummary1"/>
    <pivotTable tabId="6" name="PvtWeek2"/>
    <pivotTable tabId="10" name="PivotTable5"/>
    <pivotTable tabId="10" name="PivotTable6"/>
    <pivotTable tabId="8" name="PivotTable3"/>
    <pivotTable tabId="9" name="PivotTable4"/>
    <pivotTable tabId="12" name="PivotTable11"/>
  </pivotTables>
  <data>
    <tabular pivotCacheId="128854568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989B451-9BD3-43A3-9195-86776088A719}" sourceName="Gender Value">
  <pivotTables>
    <pivotTable tabId="12" name="PivotTable12"/>
    <pivotTable tabId="11" name="PivotTable7"/>
    <pivotTable tabId="6" name="PvtSummary1"/>
    <pivotTable tabId="6" name="PvtWeek2"/>
    <pivotTable tabId="10" name="PivotTable5"/>
    <pivotTable tabId="10" name="PivotTable6"/>
    <pivotTable tabId="8" name="PivotTable3"/>
    <pivotTable tabId="9" name="PivotTable4"/>
    <pivotTable tabId="12" name="PivotTable11"/>
  </pivotTables>
  <data>
    <tabular pivotCacheId="128854568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7CD0FBEB-AB38-4065-B8AA-C8B0F3812886}" cache="Slicer_Order_Mode" caption="Order Mode" rowHeight="257175"/>
  <slicer name="Gender Value" xr10:uid="{6B2DA371-5323-484E-9D1B-774B6162B564}" cache="Slicer_Gender_Value" caption="Gender Valu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2F2C9-3F22-4E27-B974-BC6C7D2A6D80}">
  <dimension ref="F56"/>
  <sheetViews>
    <sheetView tabSelected="1" zoomScale="60" zoomScaleNormal="60" workbookViewId="0">
      <selection activeCell="AH19" sqref="AH19"/>
    </sheetView>
  </sheetViews>
  <sheetFormatPr defaultRowHeight="15" x14ac:dyDescent="0.25"/>
  <cols>
    <col min="1" max="1" width="4.5703125" customWidth="1"/>
    <col min="2" max="2" width="16" customWidth="1"/>
    <col min="3" max="3" width="4.5703125" customWidth="1"/>
  </cols>
  <sheetData>
    <row r="56" spans="6:6" x14ac:dyDescent="0.25">
      <c r="F56" t="s">
        <v>2541</v>
      </c>
    </row>
  </sheetData>
  <pageMargins left="0.7" right="0.7" top="0.75" bottom="0.75" header="0.3" footer="0.3"/>
  <pageSetup orientation="portrait" horizontalDpi="300" verticalDpi="300"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26AA6-5C4F-4CB3-8F93-072E1A35535C}">
  <dimension ref="A2:K23"/>
  <sheetViews>
    <sheetView workbookViewId="0">
      <selection activeCell="B9" sqref="B9"/>
    </sheetView>
  </sheetViews>
  <sheetFormatPr defaultRowHeight="15" x14ac:dyDescent="0.25"/>
  <cols>
    <col min="1" max="1" width="12.42578125" bestFit="1" customWidth="1"/>
    <col min="2" max="2" width="15.5703125" bestFit="1" customWidth="1"/>
    <col min="3" max="3" width="14.85546875" bestFit="1" customWidth="1"/>
    <col min="4" max="4" width="18.7109375" bestFit="1" customWidth="1"/>
    <col min="5" max="5" width="25" bestFit="1" customWidth="1"/>
  </cols>
  <sheetData>
    <row r="2" spans="1:11" x14ac:dyDescent="0.25">
      <c r="G2" t="s">
        <v>2524</v>
      </c>
    </row>
    <row r="3" spans="1:11" x14ac:dyDescent="0.25">
      <c r="A3" t="s">
        <v>2519</v>
      </c>
      <c r="B3" t="s">
        <v>2520</v>
      </c>
      <c r="C3" t="s">
        <v>2521</v>
      </c>
      <c r="D3" t="s">
        <v>2522</v>
      </c>
      <c r="E3" t="s">
        <v>2523</v>
      </c>
      <c r="G3" t="s">
        <v>2518</v>
      </c>
      <c r="H3" t="s">
        <v>2</v>
      </c>
      <c r="I3" t="s">
        <v>4</v>
      </c>
      <c r="J3" t="s">
        <v>2525</v>
      </c>
      <c r="K3" t="s">
        <v>2526</v>
      </c>
    </row>
    <row r="4" spans="1:11" x14ac:dyDescent="0.25">
      <c r="A4" s="5">
        <v>2400</v>
      </c>
      <c r="B4" s="5">
        <v>11997</v>
      </c>
      <c r="C4" s="5">
        <v>649019.80000000144</v>
      </c>
      <c r="D4" s="5">
        <v>3.9620833333333332</v>
      </c>
      <c r="E4" s="5">
        <v>2.3424999999999998</v>
      </c>
      <c r="G4" t="str">
        <f>TEXT(A4,"#,##")</f>
        <v>2,400</v>
      </c>
      <c r="H4" t="str">
        <f t="shared" ref="H4" si="0">TEXT(B4,"#,##")</f>
        <v>11,997</v>
      </c>
      <c r="I4" t="str">
        <f>TEXT(C4,"$#,##,.0k")</f>
        <v>$649.0k</v>
      </c>
      <c r="J4" t="str">
        <f>TEXT(D4,"0.0")</f>
        <v>4.0</v>
      </c>
      <c r="K4" t="str">
        <f>TEXT(E4,"0.0")</f>
        <v>2.3</v>
      </c>
    </row>
    <row r="9" spans="1:11" x14ac:dyDescent="0.25">
      <c r="A9" s="7" t="s">
        <v>13</v>
      </c>
      <c r="B9" t="s">
        <v>2520</v>
      </c>
      <c r="C9" t="s">
        <v>2521</v>
      </c>
    </row>
    <row r="10" spans="1:11" x14ac:dyDescent="0.25">
      <c r="A10">
        <v>1</v>
      </c>
      <c r="B10" s="5">
        <v>546</v>
      </c>
      <c r="C10" s="8">
        <v>32413.300000000003</v>
      </c>
    </row>
    <row r="11" spans="1:11" x14ac:dyDescent="0.25">
      <c r="A11">
        <v>2</v>
      </c>
      <c r="B11" s="5">
        <v>905</v>
      </c>
      <c r="C11" s="8">
        <v>49562.999999999993</v>
      </c>
    </row>
    <row r="12" spans="1:11" x14ac:dyDescent="0.25">
      <c r="A12">
        <v>3</v>
      </c>
      <c r="B12" s="5">
        <v>796</v>
      </c>
      <c r="C12" s="8">
        <v>41700.400000000016</v>
      </c>
    </row>
    <row r="13" spans="1:11" x14ac:dyDescent="0.25">
      <c r="A13">
        <v>4</v>
      </c>
      <c r="B13" s="5">
        <v>913</v>
      </c>
      <c r="C13" s="8">
        <v>46782.599999999984</v>
      </c>
    </row>
    <row r="14" spans="1:11" x14ac:dyDescent="0.25">
      <c r="A14">
        <v>5</v>
      </c>
      <c r="B14" s="5">
        <v>844</v>
      </c>
      <c r="C14" s="8">
        <v>42676.100000000006</v>
      </c>
    </row>
    <row r="15" spans="1:11" x14ac:dyDescent="0.25">
      <c r="A15">
        <v>6</v>
      </c>
      <c r="B15" s="5">
        <v>1202</v>
      </c>
      <c r="C15" s="8">
        <v>62910.7</v>
      </c>
    </row>
    <row r="16" spans="1:11" x14ac:dyDescent="0.25">
      <c r="A16">
        <v>7</v>
      </c>
      <c r="B16" s="5">
        <v>935</v>
      </c>
      <c r="C16" s="8">
        <v>50332.200000000004</v>
      </c>
    </row>
    <row r="17" spans="1:3" x14ac:dyDescent="0.25">
      <c r="A17">
        <v>8</v>
      </c>
      <c r="B17" s="5">
        <v>1128</v>
      </c>
      <c r="C17" s="8">
        <v>58760.599999999977</v>
      </c>
    </row>
    <row r="18" spans="1:3" x14ac:dyDescent="0.25">
      <c r="A18">
        <v>9</v>
      </c>
      <c r="B18" s="5">
        <v>1007</v>
      </c>
      <c r="C18" s="8">
        <v>52017.299999999996</v>
      </c>
    </row>
    <row r="19" spans="1:3" x14ac:dyDescent="0.25">
      <c r="A19">
        <v>10</v>
      </c>
      <c r="B19" s="5">
        <v>1128</v>
      </c>
      <c r="C19" s="8">
        <v>64915.700000000033</v>
      </c>
    </row>
    <row r="20" spans="1:3" x14ac:dyDescent="0.25">
      <c r="A20">
        <v>11</v>
      </c>
      <c r="B20" s="5">
        <v>861</v>
      </c>
      <c r="C20" s="8">
        <v>45943.80000000001</v>
      </c>
    </row>
    <row r="21" spans="1:3" x14ac:dyDescent="0.25">
      <c r="A21">
        <v>12</v>
      </c>
      <c r="B21" s="5">
        <v>944</v>
      </c>
      <c r="C21" s="8">
        <v>55077.900000000031</v>
      </c>
    </row>
    <row r="22" spans="1:3" x14ac:dyDescent="0.25">
      <c r="A22">
        <v>13</v>
      </c>
      <c r="B22" s="5">
        <v>788</v>
      </c>
      <c r="C22" s="8">
        <v>45926.19999999999</v>
      </c>
    </row>
    <row r="23" spans="1:3" x14ac:dyDescent="0.25">
      <c r="A23" t="s">
        <v>2527</v>
      </c>
      <c r="B23" s="5">
        <v>11997</v>
      </c>
      <c r="C23" s="8">
        <v>649019.79999999993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B42F3-4EB8-4D7D-BF38-49E1C93EB63F}">
  <dimension ref="A2:M10"/>
  <sheetViews>
    <sheetView showGridLines="0" workbookViewId="0">
      <selection activeCell="B4" sqref="B4"/>
    </sheetView>
  </sheetViews>
  <sheetFormatPr defaultRowHeight="15" x14ac:dyDescent="0.25"/>
  <cols>
    <col min="1" max="1" width="14.85546875" bestFit="1" customWidth="1"/>
    <col min="2" max="5" width="15.5703125" bestFit="1" customWidth="1"/>
    <col min="6" max="6" width="11.28515625" bestFit="1" customWidth="1"/>
    <col min="9" max="9" width="13" customWidth="1"/>
  </cols>
  <sheetData>
    <row r="2" spans="1:13" x14ac:dyDescent="0.25">
      <c r="I2" t="s">
        <v>2532</v>
      </c>
    </row>
    <row r="3" spans="1:13" ht="15.75" thickBot="1" x14ac:dyDescent="0.3">
      <c r="A3" s="7" t="s">
        <v>2521</v>
      </c>
      <c r="B3" s="7" t="s">
        <v>14</v>
      </c>
    </row>
    <row r="4" spans="1:13" ht="22.5" customHeight="1" thickTop="1" thickBot="1" x14ac:dyDescent="0.3">
      <c r="A4" s="7" t="s">
        <v>8</v>
      </c>
      <c r="B4" t="s">
        <v>2528</v>
      </c>
      <c r="C4" t="s">
        <v>2529</v>
      </c>
      <c r="D4" t="s">
        <v>2530</v>
      </c>
      <c r="E4" t="s">
        <v>2531</v>
      </c>
      <c r="F4" t="s">
        <v>2527</v>
      </c>
      <c r="I4" s="10"/>
      <c r="J4" s="10" t="str">
        <f>B4</f>
        <v>Female</v>
      </c>
      <c r="K4" s="10" t="str">
        <f t="shared" ref="K4:M9" si="0">C4</f>
        <v>Male</v>
      </c>
      <c r="L4" s="10" t="str">
        <f t="shared" si="0"/>
        <v>Other</v>
      </c>
      <c r="M4" s="10" t="str">
        <f t="shared" si="0"/>
        <v>Unknown</v>
      </c>
    </row>
    <row r="5" spans="1:13" ht="22.5" customHeight="1" thickTop="1" thickBot="1" x14ac:dyDescent="0.3">
      <c r="A5" t="s">
        <v>18</v>
      </c>
      <c r="B5" s="9">
        <v>0.18961825201634841</v>
      </c>
      <c r="C5" s="9">
        <v>0.12262322351336576</v>
      </c>
      <c r="D5" s="9">
        <v>1.060537752469185E-2</v>
      </c>
      <c r="E5" s="9">
        <v>3.0599220547662797E-2</v>
      </c>
      <c r="F5" s="9">
        <v>0.35344607360206881</v>
      </c>
      <c r="I5" s="10" t="str">
        <f>A5</f>
        <v>App</v>
      </c>
      <c r="J5" s="11">
        <f t="shared" ref="J5:J9" si="1">B5</f>
        <v>0.18961825201634841</v>
      </c>
      <c r="K5" s="11">
        <f t="shared" si="0"/>
        <v>0.12262322351336576</v>
      </c>
      <c r="L5" s="11">
        <f t="shared" si="0"/>
        <v>1.060537752469185E-2</v>
      </c>
      <c r="M5" s="11">
        <f t="shared" si="0"/>
        <v>3.0599220547662797E-2</v>
      </c>
    </row>
    <row r="6" spans="1:13" ht="22.5" customHeight="1" thickTop="1" thickBot="1" x14ac:dyDescent="0.3">
      <c r="A6" t="s">
        <v>51</v>
      </c>
      <c r="B6" s="9">
        <v>5.0283982091147303E-2</v>
      </c>
      <c r="C6" s="9">
        <v>4.3060781812819873E-2</v>
      </c>
      <c r="D6" s="9">
        <v>1.5320025675641944E-3</v>
      </c>
      <c r="E6" s="9">
        <v>1.7794988689097006E-2</v>
      </c>
      <c r="F6" s="9">
        <v>0.11267175516062837</v>
      </c>
      <c r="I6" s="10" t="str">
        <f t="shared" ref="I6:I9" si="2">A6</f>
        <v>Instagram</v>
      </c>
      <c r="J6" s="11">
        <f t="shared" si="1"/>
        <v>5.0283982091147303E-2</v>
      </c>
      <c r="K6" s="11">
        <f t="shared" si="0"/>
        <v>4.3060781812819873E-2</v>
      </c>
      <c r="L6" s="11">
        <f t="shared" si="0"/>
        <v>1.5320025675641944E-3</v>
      </c>
      <c r="M6" s="11">
        <f t="shared" si="0"/>
        <v>1.7794988689097006E-2</v>
      </c>
    </row>
    <row r="7" spans="1:13" ht="22.5" customHeight="1" thickTop="1" thickBot="1" x14ac:dyDescent="0.3">
      <c r="A7" t="s">
        <v>70</v>
      </c>
      <c r="B7" s="9">
        <v>6.3496059750411282E-2</v>
      </c>
      <c r="C7" s="9">
        <v>4.6071629863988765E-2</v>
      </c>
      <c r="D7" s="9">
        <v>2.306247051322625E-3</v>
      </c>
      <c r="E7" s="9">
        <v>3.8927934093844286E-3</v>
      </c>
      <c r="F7" s="9">
        <v>0.11576673007510711</v>
      </c>
      <c r="I7" s="10" t="str">
        <f t="shared" si="2"/>
        <v>Partner App</v>
      </c>
      <c r="J7" s="11">
        <f t="shared" si="1"/>
        <v>6.3496059750411282E-2</v>
      </c>
      <c r="K7" s="11">
        <f t="shared" si="0"/>
        <v>4.6071629863988765E-2</v>
      </c>
      <c r="L7" s="11">
        <f t="shared" si="0"/>
        <v>2.306247051322625E-3</v>
      </c>
      <c r="M7" s="11">
        <f t="shared" si="0"/>
        <v>3.8927934093844286E-3</v>
      </c>
    </row>
    <row r="8" spans="1:13" ht="22.5" customHeight="1" thickTop="1" thickBot="1" x14ac:dyDescent="0.3">
      <c r="A8" t="s">
        <v>40</v>
      </c>
      <c r="B8" s="9">
        <v>9.6337892927149532E-2</v>
      </c>
      <c r="C8" s="9">
        <v>6.7920115842382611E-2</v>
      </c>
      <c r="D8" s="9">
        <v>5.4979832664581261E-3</v>
      </c>
      <c r="E8" s="9">
        <v>1.2933041488102518E-2</v>
      </c>
      <c r="F8" s="9">
        <v>0.1826890335240928</v>
      </c>
      <c r="I8" s="10" t="str">
        <f t="shared" si="2"/>
        <v>Target.com</v>
      </c>
      <c r="J8" s="11">
        <f t="shared" si="1"/>
        <v>9.6337892927149532E-2</v>
      </c>
      <c r="K8" s="11">
        <f t="shared" si="0"/>
        <v>6.7920115842382611E-2</v>
      </c>
      <c r="L8" s="11">
        <f t="shared" si="0"/>
        <v>5.4979832664581261E-3</v>
      </c>
      <c r="M8" s="11">
        <f t="shared" si="0"/>
        <v>1.2933041488102518E-2</v>
      </c>
    </row>
    <row r="9" spans="1:13" ht="22.5" customHeight="1" thickTop="1" thickBot="1" x14ac:dyDescent="0.3">
      <c r="A9" t="s">
        <v>35</v>
      </c>
      <c r="B9" s="9">
        <v>0.12522098709469262</v>
      </c>
      <c r="C9" s="9">
        <v>9.1492740283116228E-2</v>
      </c>
      <c r="D9" s="9">
        <v>6.3042760790965081E-3</v>
      </c>
      <c r="E9" s="9">
        <v>1.2408404181197551E-2</v>
      </c>
      <c r="F9" s="9">
        <v>0.23542640763810288</v>
      </c>
      <c r="I9" s="10" t="str">
        <f t="shared" si="2"/>
        <v>Website</v>
      </c>
      <c r="J9" s="11">
        <f t="shared" si="1"/>
        <v>0.12522098709469262</v>
      </c>
      <c r="K9" s="11">
        <f t="shared" si="0"/>
        <v>9.1492740283116228E-2</v>
      </c>
      <c r="L9" s="11">
        <f t="shared" si="0"/>
        <v>6.3042760790965081E-3</v>
      </c>
      <c r="M9" s="11">
        <f t="shared" si="0"/>
        <v>1.2408404181197551E-2</v>
      </c>
    </row>
    <row r="10" spans="1:13" ht="15.75" thickTop="1" x14ac:dyDescent="0.25">
      <c r="A10" t="s">
        <v>2527</v>
      </c>
      <c r="B10" s="9">
        <v>0.52495717387974916</v>
      </c>
      <c r="C10" s="9">
        <v>0.3711684913156732</v>
      </c>
      <c r="D10" s="9">
        <v>2.6245886489133303E-2</v>
      </c>
      <c r="E10" s="9">
        <v>7.7628448315444312E-2</v>
      </c>
      <c r="F10" s="9">
        <v>1</v>
      </c>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FE9AC-5220-46C7-B16C-31EAE2120B64}">
  <dimension ref="A1:B9"/>
  <sheetViews>
    <sheetView workbookViewId="0">
      <selection activeCell="B4" sqref="B4"/>
    </sheetView>
  </sheetViews>
  <sheetFormatPr defaultRowHeight="15" x14ac:dyDescent="0.25"/>
  <cols>
    <col min="1" max="1" width="12.28515625" bestFit="1" customWidth="1"/>
    <col min="2" max="4" width="14" bestFit="1" customWidth="1"/>
  </cols>
  <sheetData>
    <row r="1" spans="1:2" x14ac:dyDescent="0.25">
      <c r="A1" s="7" t="s">
        <v>2534</v>
      </c>
      <c r="B1" t="s">
        <v>2519</v>
      </c>
    </row>
    <row r="2" spans="1:2" x14ac:dyDescent="0.25">
      <c r="A2">
        <v>1</v>
      </c>
      <c r="B2" s="5">
        <v>397</v>
      </c>
    </row>
    <row r="3" spans="1:2" x14ac:dyDescent="0.25">
      <c r="A3">
        <v>2</v>
      </c>
      <c r="B3" s="5">
        <v>540</v>
      </c>
    </row>
    <row r="4" spans="1:2" x14ac:dyDescent="0.25">
      <c r="A4">
        <v>3</v>
      </c>
      <c r="B4" s="5">
        <v>375</v>
      </c>
    </row>
    <row r="5" spans="1:2" x14ac:dyDescent="0.25">
      <c r="A5">
        <v>4</v>
      </c>
      <c r="B5" s="5">
        <v>246</v>
      </c>
    </row>
    <row r="6" spans="1:2" x14ac:dyDescent="0.25">
      <c r="A6">
        <v>5</v>
      </c>
      <c r="B6" s="5">
        <v>195</v>
      </c>
    </row>
    <row r="7" spans="1:2" x14ac:dyDescent="0.25">
      <c r="A7" t="s">
        <v>2533</v>
      </c>
      <c r="B7" s="5">
        <v>414</v>
      </c>
    </row>
    <row r="8" spans="1:2" x14ac:dyDescent="0.25">
      <c r="A8" t="s">
        <v>2535</v>
      </c>
      <c r="B8" s="5">
        <v>233</v>
      </c>
    </row>
    <row r="9" spans="1:2" x14ac:dyDescent="0.25">
      <c r="A9" t="s">
        <v>2527</v>
      </c>
      <c r="B9" s="5">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H19" sqref="H19"/>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8EF4-201A-4ADF-BB7B-E1A73BA774D4}">
  <dimension ref="A3:J25"/>
  <sheetViews>
    <sheetView workbookViewId="0">
      <selection activeCell="I4" sqref="I4"/>
      <pivotSelection pane="bottomRight" showHeader="1" axis="axisRow" activeRow="3" activeCol="8" previousRow="3" previousCol="8" click="1" r:id="rId2">
        <pivotArea dataOnly="0" labelOnly="1" outline="0" fieldPosition="0">
          <references count="1">
            <reference field="14" count="0"/>
          </references>
        </pivotArea>
      </pivotSelection>
    </sheetView>
  </sheetViews>
  <sheetFormatPr defaultRowHeight="15" x14ac:dyDescent="0.25"/>
  <cols>
    <col min="1" max="1" width="20.85546875" bestFit="1" customWidth="1"/>
    <col min="2" max="5" width="15.5703125" bestFit="1" customWidth="1"/>
    <col min="6" max="6" width="11.28515625" bestFit="1" customWidth="1"/>
    <col min="7" max="7" width="7.42578125" bestFit="1" customWidth="1"/>
    <col min="8" max="8" width="6.140625" bestFit="1" customWidth="1"/>
    <col min="9" max="13" width="15.5703125" bestFit="1" customWidth="1"/>
    <col min="14" max="14" width="11.28515625" bestFit="1" customWidth="1"/>
  </cols>
  <sheetData>
    <row r="3" spans="1:10" x14ac:dyDescent="0.25">
      <c r="A3" s="7" t="s">
        <v>2520</v>
      </c>
      <c r="B3" s="7" t="s">
        <v>14</v>
      </c>
      <c r="I3" s="7" t="s">
        <v>14</v>
      </c>
      <c r="J3" t="s">
        <v>2520</v>
      </c>
    </row>
    <row r="4" spans="1:10" x14ac:dyDescent="0.25">
      <c r="A4" s="7" t="s">
        <v>1</v>
      </c>
      <c r="B4" t="s">
        <v>2528</v>
      </c>
      <c r="C4" t="s">
        <v>2529</v>
      </c>
      <c r="D4" t="s">
        <v>2530</v>
      </c>
      <c r="E4" t="s">
        <v>2531</v>
      </c>
      <c r="F4" t="s">
        <v>2527</v>
      </c>
      <c r="I4" t="s">
        <v>2528</v>
      </c>
      <c r="J4" s="5">
        <v>6272</v>
      </c>
    </row>
    <row r="5" spans="1:10" x14ac:dyDescent="0.25">
      <c r="A5" t="s">
        <v>44</v>
      </c>
      <c r="B5" s="5">
        <v>744</v>
      </c>
      <c r="C5" s="5">
        <v>713</v>
      </c>
      <c r="D5" s="5">
        <v>90</v>
      </c>
      <c r="E5" s="5">
        <v>98</v>
      </c>
      <c r="F5" s="5">
        <v>1645</v>
      </c>
      <c r="I5" t="s">
        <v>2529</v>
      </c>
      <c r="J5" s="5">
        <v>4672</v>
      </c>
    </row>
    <row r="6" spans="1:10" x14ac:dyDescent="0.25">
      <c r="A6" t="s">
        <v>39</v>
      </c>
      <c r="B6" s="5">
        <v>716</v>
      </c>
      <c r="C6" s="5">
        <v>598</v>
      </c>
      <c r="D6" s="5">
        <v>18</v>
      </c>
      <c r="E6" s="5">
        <v>214</v>
      </c>
      <c r="F6" s="5">
        <v>1546</v>
      </c>
      <c r="I6" t="s">
        <v>2530</v>
      </c>
      <c r="J6" s="5">
        <v>317</v>
      </c>
    </row>
    <row r="7" spans="1:10" x14ac:dyDescent="0.25">
      <c r="A7" t="s">
        <v>26</v>
      </c>
      <c r="B7" s="5">
        <v>627</v>
      </c>
      <c r="C7" s="5">
        <v>393</v>
      </c>
      <c r="D7" s="5">
        <v>29</v>
      </c>
      <c r="E7" s="5">
        <v>137</v>
      </c>
      <c r="F7" s="5">
        <v>1186</v>
      </c>
      <c r="I7" t="s">
        <v>2531</v>
      </c>
      <c r="J7" s="5">
        <v>736</v>
      </c>
    </row>
    <row r="8" spans="1:10" x14ac:dyDescent="0.25">
      <c r="A8" t="s">
        <v>22</v>
      </c>
      <c r="B8" s="5">
        <v>568</v>
      </c>
      <c r="C8" s="5">
        <v>306</v>
      </c>
      <c r="D8" s="5">
        <v>22</v>
      </c>
      <c r="E8" s="5">
        <v>16</v>
      </c>
      <c r="F8" s="5">
        <v>912</v>
      </c>
      <c r="I8" t="s">
        <v>2527</v>
      </c>
      <c r="J8" s="5">
        <v>11997</v>
      </c>
    </row>
    <row r="9" spans="1:10" x14ac:dyDescent="0.25">
      <c r="A9" t="s">
        <v>54</v>
      </c>
      <c r="B9" s="5">
        <v>482</v>
      </c>
      <c r="C9" s="5">
        <v>295</v>
      </c>
      <c r="D9" s="5">
        <v>8</v>
      </c>
      <c r="E9" s="5">
        <v>22</v>
      </c>
      <c r="F9" s="5">
        <v>807</v>
      </c>
    </row>
    <row r="10" spans="1:10" x14ac:dyDescent="0.25">
      <c r="A10" t="s">
        <v>16</v>
      </c>
      <c r="B10" s="5">
        <v>428</v>
      </c>
      <c r="C10" s="5">
        <v>293</v>
      </c>
      <c r="D10" s="5"/>
      <c r="E10" s="5">
        <v>24</v>
      </c>
      <c r="F10" s="5">
        <v>745</v>
      </c>
    </row>
    <row r="11" spans="1:10" x14ac:dyDescent="0.25">
      <c r="A11" t="s">
        <v>46</v>
      </c>
      <c r="B11" s="5">
        <v>445</v>
      </c>
      <c r="C11" s="5">
        <v>202</v>
      </c>
      <c r="D11" s="5">
        <v>14</v>
      </c>
      <c r="E11" s="5">
        <v>39</v>
      </c>
      <c r="F11" s="5">
        <v>700</v>
      </c>
    </row>
    <row r="12" spans="1:10" x14ac:dyDescent="0.25">
      <c r="A12" t="s">
        <v>32</v>
      </c>
      <c r="B12" s="5">
        <v>431</v>
      </c>
      <c r="C12" s="5">
        <v>187</v>
      </c>
      <c r="D12" s="5">
        <v>14</v>
      </c>
      <c r="E12" s="5">
        <v>15</v>
      </c>
      <c r="F12" s="5">
        <v>647</v>
      </c>
    </row>
    <row r="13" spans="1:10" x14ac:dyDescent="0.25">
      <c r="A13" t="s">
        <v>42</v>
      </c>
      <c r="B13" s="5">
        <v>264</v>
      </c>
      <c r="C13" s="5">
        <v>318</v>
      </c>
      <c r="D13" s="5">
        <v>15</v>
      </c>
      <c r="E13" s="5">
        <v>9</v>
      </c>
      <c r="F13" s="5">
        <v>606</v>
      </c>
    </row>
    <row r="14" spans="1:10" x14ac:dyDescent="0.25">
      <c r="A14" t="s">
        <v>37</v>
      </c>
      <c r="B14" s="5">
        <v>296</v>
      </c>
      <c r="C14" s="5">
        <v>275</v>
      </c>
      <c r="D14" s="5">
        <v>9</v>
      </c>
      <c r="E14" s="5">
        <v>23</v>
      </c>
      <c r="F14" s="5">
        <v>603</v>
      </c>
    </row>
    <row r="15" spans="1:10" x14ac:dyDescent="0.25">
      <c r="A15" t="s">
        <v>123</v>
      </c>
      <c r="B15" s="5">
        <v>153</v>
      </c>
      <c r="C15" s="5">
        <v>246</v>
      </c>
      <c r="D15" s="5">
        <v>30</v>
      </c>
      <c r="E15" s="5">
        <v>8</v>
      </c>
      <c r="F15" s="5">
        <v>437</v>
      </c>
    </row>
    <row r="16" spans="1:10" x14ac:dyDescent="0.25">
      <c r="A16" t="s">
        <v>146</v>
      </c>
      <c r="B16" s="5">
        <v>189</v>
      </c>
      <c r="C16" s="5">
        <v>168</v>
      </c>
      <c r="D16" s="5">
        <v>10</v>
      </c>
      <c r="E16" s="5">
        <v>31</v>
      </c>
      <c r="F16" s="5">
        <v>398</v>
      </c>
    </row>
    <row r="17" spans="1:6" x14ac:dyDescent="0.25">
      <c r="A17" t="s">
        <v>69</v>
      </c>
      <c r="B17" s="5">
        <v>234</v>
      </c>
      <c r="C17" s="5">
        <v>93</v>
      </c>
      <c r="D17" s="5">
        <v>19</v>
      </c>
      <c r="E17" s="5">
        <v>24</v>
      </c>
      <c r="F17" s="5">
        <v>370</v>
      </c>
    </row>
    <row r="18" spans="1:6" x14ac:dyDescent="0.25">
      <c r="A18" t="s">
        <v>30</v>
      </c>
      <c r="B18" s="5">
        <v>146</v>
      </c>
      <c r="C18" s="5">
        <v>94</v>
      </c>
      <c r="D18" s="5">
        <v>4</v>
      </c>
      <c r="E18" s="5">
        <v>28</v>
      </c>
      <c r="F18" s="5">
        <v>272</v>
      </c>
    </row>
    <row r="19" spans="1:6" x14ac:dyDescent="0.25">
      <c r="A19" t="s">
        <v>135</v>
      </c>
      <c r="B19" s="5">
        <v>127</v>
      </c>
      <c r="C19" s="5">
        <v>118</v>
      </c>
      <c r="D19" s="5">
        <v>13</v>
      </c>
      <c r="E19" s="5">
        <v>12</v>
      </c>
      <c r="F19" s="5">
        <v>270</v>
      </c>
    </row>
    <row r="20" spans="1:6" x14ac:dyDescent="0.25">
      <c r="A20" t="s">
        <v>67</v>
      </c>
      <c r="B20" s="5">
        <v>179</v>
      </c>
      <c r="C20" s="5">
        <v>76</v>
      </c>
      <c r="D20" s="5">
        <v>3</v>
      </c>
      <c r="E20" s="5"/>
      <c r="F20" s="5">
        <v>258</v>
      </c>
    </row>
    <row r="21" spans="1:6" x14ac:dyDescent="0.25">
      <c r="A21" t="s">
        <v>128</v>
      </c>
      <c r="B21" s="5">
        <v>99</v>
      </c>
      <c r="C21" s="5">
        <v>69</v>
      </c>
      <c r="D21" s="5">
        <v>3</v>
      </c>
      <c r="E21" s="5">
        <v>24</v>
      </c>
      <c r="F21" s="5">
        <v>195</v>
      </c>
    </row>
    <row r="22" spans="1:6" x14ac:dyDescent="0.25">
      <c r="A22" t="s">
        <v>76</v>
      </c>
      <c r="B22" s="5">
        <v>75</v>
      </c>
      <c r="C22" s="5">
        <v>103</v>
      </c>
      <c r="D22" s="5">
        <v>4</v>
      </c>
      <c r="E22" s="5">
        <v>6</v>
      </c>
      <c r="F22" s="5">
        <v>188</v>
      </c>
    </row>
    <row r="23" spans="1:6" x14ac:dyDescent="0.25">
      <c r="A23" t="s">
        <v>81</v>
      </c>
      <c r="B23" s="5">
        <v>43</v>
      </c>
      <c r="C23" s="5">
        <v>90</v>
      </c>
      <c r="D23" s="5">
        <v>8</v>
      </c>
      <c r="E23" s="5">
        <v>6</v>
      </c>
      <c r="F23" s="5">
        <v>147</v>
      </c>
    </row>
    <row r="24" spans="1:6" x14ac:dyDescent="0.25">
      <c r="A24" t="s">
        <v>171</v>
      </c>
      <c r="B24" s="5">
        <v>26</v>
      </c>
      <c r="C24" s="5">
        <v>35</v>
      </c>
      <c r="D24" s="5">
        <v>4</v>
      </c>
      <c r="E24" s="5"/>
      <c r="F24" s="5">
        <v>65</v>
      </c>
    </row>
    <row r="25" spans="1:6" x14ac:dyDescent="0.25">
      <c r="A25" t="s">
        <v>2527</v>
      </c>
      <c r="B25" s="5">
        <v>6272</v>
      </c>
      <c r="C25" s="5">
        <v>4672</v>
      </c>
      <c r="D25" s="5">
        <v>317</v>
      </c>
      <c r="E25" s="5">
        <v>736</v>
      </c>
      <c r="F25" s="5">
        <v>11997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83E0-FC64-4B48-BC23-4B3867A79DE4}">
  <dimension ref="A3:M63"/>
  <sheetViews>
    <sheetView topLeftCell="A25" workbookViewId="0">
      <selection activeCell="K39" sqref="K39"/>
    </sheetView>
  </sheetViews>
  <sheetFormatPr defaultRowHeight="15" x14ac:dyDescent="0.25"/>
  <cols>
    <col min="1" max="2" width="22" bestFit="1" customWidth="1"/>
    <col min="3" max="3" width="15.5703125" bestFit="1" customWidth="1"/>
    <col min="4" max="4" width="14.85546875" bestFit="1" customWidth="1"/>
    <col min="6" max="6" width="12" customWidth="1"/>
    <col min="7" max="7" width="21.5703125" customWidth="1"/>
    <col min="12" max="12" width="21.140625" customWidth="1"/>
  </cols>
  <sheetData>
    <row r="3" spans="1:13" x14ac:dyDescent="0.25">
      <c r="A3" s="7" t="s">
        <v>10</v>
      </c>
      <c r="B3" s="7" t="s">
        <v>11</v>
      </c>
      <c r="C3" t="s">
        <v>2520</v>
      </c>
      <c r="D3" t="s">
        <v>2521</v>
      </c>
      <c r="F3" t="s">
        <v>10</v>
      </c>
      <c r="G3" t="s">
        <v>11</v>
      </c>
      <c r="H3" t="s">
        <v>2520</v>
      </c>
      <c r="K3" t="s">
        <v>10</v>
      </c>
      <c r="L3" t="s">
        <v>11</v>
      </c>
      <c r="M3" t="s">
        <v>2521</v>
      </c>
    </row>
    <row r="4" spans="1:13" x14ac:dyDescent="0.25">
      <c r="A4" t="s">
        <v>19</v>
      </c>
      <c r="B4" t="s">
        <v>115</v>
      </c>
      <c r="C4" s="5">
        <v>579</v>
      </c>
      <c r="D4" s="5">
        <v>31884.999999999996</v>
      </c>
      <c r="F4" t="str">
        <f>IF(A4="","",A4)</f>
        <v>California</v>
      </c>
      <c r="G4" t="str">
        <f t="shared" ref="G4:H19" si="0">IF(B4="","",B4)</f>
        <v>Alameda County</v>
      </c>
      <c r="H4">
        <f t="shared" si="0"/>
        <v>579</v>
      </c>
      <c r="J4" s="6"/>
      <c r="K4" t="str">
        <f>IF(A4="","",A4)</f>
        <v>California</v>
      </c>
      <c r="L4" t="str">
        <f t="shared" ref="L4:L19" si="1">IF(B4="","",B4)</f>
        <v>Alameda County</v>
      </c>
      <c r="M4">
        <f>IF(D4="","",D4)</f>
        <v>31884.999999999996</v>
      </c>
    </row>
    <row r="5" spans="1:13" x14ac:dyDescent="0.25">
      <c r="A5" t="s">
        <v>19</v>
      </c>
      <c r="B5" t="s">
        <v>20</v>
      </c>
      <c r="C5" s="5">
        <v>1</v>
      </c>
      <c r="D5" s="5">
        <v>10.9</v>
      </c>
      <c r="F5" t="str">
        <f t="shared" ref="F5:F56" si="2">IF(A5="","",A5)</f>
        <v>California</v>
      </c>
      <c r="G5" t="str">
        <f t="shared" si="0"/>
        <v>Alpine County</v>
      </c>
      <c r="H5">
        <f t="shared" si="0"/>
        <v>1</v>
      </c>
      <c r="J5" s="6"/>
      <c r="K5" t="str">
        <f t="shared" ref="K5:K56" si="3">IF(A5="","",A5)</f>
        <v>California</v>
      </c>
      <c r="L5" t="str">
        <f t="shared" si="1"/>
        <v>Alpine County</v>
      </c>
      <c r="M5">
        <f t="shared" ref="M5:M56" si="4">IF(D5="","",D5)</f>
        <v>10.9</v>
      </c>
    </row>
    <row r="6" spans="1:13" x14ac:dyDescent="0.25">
      <c r="A6" t="s">
        <v>19</v>
      </c>
      <c r="B6" t="s">
        <v>641</v>
      </c>
      <c r="C6" s="5">
        <v>9</v>
      </c>
      <c r="D6" s="5">
        <v>800.3</v>
      </c>
      <c r="F6" t="str">
        <f t="shared" si="2"/>
        <v>California</v>
      </c>
      <c r="G6" t="str">
        <f t="shared" si="0"/>
        <v>Amador County</v>
      </c>
      <c r="H6">
        <f t="shared" si="0"/>
        <v>9</v>
      </c>
      <c r="J6" s="6"/>
      <c r="K6" t="str">
        <f t="shared" si="3"/>
        <v>California</v>
      </c>
      <c r="L6" t="str">
        <f t="shared" si="1"/>
        <v>Amador County</v>
      </c>
      <c r="M6">
        <f t="shared" si="4"/>
        <v>800.3</v>
      </c>
    </row>
    <row r="7" spans="1:13" x14ac:dyDescent="0.25">
      <c r="A7" t="s">
        <v>19</v>
      </c>
      <c r="B7" t="s">
        <v>967</v>
      </c>
      <c r="C7" s="5">
        <v>35</v>
      </c>
      <c r="D7" s="5">
        <v>1062.5999999999999</v>
      </c>
      <c r="F7" t="str">
        <f t="shared" si="2"/>
        <v>California</v>
      </c>
      <c r="G7" t="str">
        <f t="shared" si="0"/>
        <v>Butte County</v>
      </c>
      <c r="H7">
        <f t="shared" si="0"/>
        <v>35</v>
      </c>
      <c r="J7" s="6"/>
      <c r="K7" t="str">
        <f t="shared" si="3"/>
        <v>California</v>
      </c>
      <c r="L7" t="str">
        <f t="shared" si="1"/>
        <v>Butte County</v>
      </c>
      <c r="M7">
        <f t="shared" si="4"/>
        <v>1062.5999999999999</v>
      </c>
    </row>
    <row r="8" spans="1:13" x14ac:dyDescent="0.25">
      <c r="A8" t="s">
        <v>19</v>
      </c>
      <c r="B8" t="s">
        <v>84</v>
      </c>
      <c r="C8" s="5">
        <v>12</v>
      </c>
      <c r="D8" s="5">
        <v>326.20000000000005</v>
      </c>
      <c r="F8" t="str">
        <f t="shared" si="2"/>
        <v>California</v>
      </c>
      <c r="G8" t="str">
        <f t="shared" si="0"/>
        <v>Calaveras County</v>
      </c>
      <c r="H8">
        <f t="shared" si="0"/>
        <v>12</v>
      </c>
      <c r="J8" s="6"/>
      <c r="K8" t="str">
        <f t="shared" si="3"/>
        <v>California</v>
      </c>
      <c r="L8" t="str">
        <f t="shared" si="1"/>
        <v>Calaveras County</v>
      </c>
      <c r="M8">
        <f t="shared" si="4"/>
        <v>326.20000000000005</v>
      </c>
    </row>
    <row r="9" spans="1:13" x14ac:dyDescent="0.25">
      <c r="A9" t="s">
        <v>19</v>
      </c>
      <c r="B9" t="s">
        <v>1383</v>
      </c>
      <c r="C9" s="5">
        <v>4</v>
      </c>
      <c r="D9" s="5">
        <v>167.5</v>
      </c>
      <c r="F9" t="str">
        <f t="shared" si="2"/>
        <v>California</v>
      </c>
      <c r="G9" t="str">
        <f t="shared" si="0"/>
        <v>Colusa County</v>
      </c>
      <c r="H9">
        <f t="shared" si="0"/>
        <v>4</v>
      </c>
      <c r="J9" s="6"/>
      <c r="K9" t="str">
        <f t="shared" si="3"/>
        <v>California</v>
      </c>
      <c r="L9" t="str">
        <f t="shared" si="1"/>
        <v>Colusa County</v>
      </c>
      <c r="M9">
        <f t="shared" si="4"/>
        <v>167.5</v>
      </c>
    </row>
    <row r="10" spans="1:13" x14ac:dyDescent="0.25">
      <c r="A10" t="s">
        <v>19</v>
      </c>
      <c r="B10" t="s">
        <v>24</v>
      </c>
      <c r="C10" s="5">
        <v>341</v>
      </c>
      <c r="D10" s="5">
        <v>16168.7</v>
      </c>
      <c r="F10" t="str">
        <f t="shared" si="2"/>
        <v>California</v>
      </c>
      <c r="G10" t="str">
        <f t="shared" si="0"/>
        <v>Contra Costa County</v>
      </c>
      <c r="H10">
        <f t="shared" si="0"/>
        <v>341</v>
      </c>
      <c r="J10" s="6"/>
      <c r="K10" t="str">
        <f t="shared" si="3"/>
        <v>California</v>
      </c>
      <c r="L10" t="str">
        <f t="shared" si="1"/>
        <v>Contra Costa County</v>
      </c>
      <c r="M10">
        <f t="shared" si="4"/>
        <v>16168.7</v>
      </c>
    </row>
    <row r="11" spans="1:13" x14ac:dyDescent="0.25">
      <c r="A11" t="s">
        <v>19</v>
      </c>
      <c r="B11" t="s">
        <v>2204</v>
      </c>
      <c r="C11" s="5">
        <v>13</v>
      </c>
      <c r="D11" s="5">
        <v>322.40000000000003</v>
      </c>
      <c r="F11" t="str">
        <f t="shared" si="2"/>
        <v>California</v>
      </c>
      <c r="G11" t="str">
        <f t="shared" si="0"/>
        <v>Del Norte County</v>
      </c>
      <c r="H11">
        <f t="shared" si="0"/>
        <v>13</v>
      </c>
      <c r="J11" s="6"/>
      <c r="K11" t="str">
        <f t="shared" si="3"/>
        <v>California</v>
      </c>
      <c r="L11" t="str">
        <f t="shared" si="1"/>
        <v>Del Norte County</v>
      </c>
      <c r="M11">
        <f t="shared" si="4"/>
        <v>322.40000000000003</v>
      </c>
    </row>
    <row r="12" spans="1:13" x14ac:dyDescent="0.25">
      <c r="A12" t="s">
        <v>19</v>
      </c>
      <c r="B12" t="s">
        <v>437</v>
      </c>
      <c r="C12" s="5">
        <v>31</v>
      </c>
      <c r="D12" s="5">
        <v>2092.8000000000002</v>
      </c>
      <c r="F12" t="str">
        <f t="shared" si="2"/>
        <v>California</v>
      </c>
      <c r="G12" t="str">
        <f t="shared" si="0"/>
        <v>El Dorado County</v>
      </c>
      <c r="H12">
        <f t="shared" si="0"/>
        <v>31</v>
      </c>
      <c r="J12" s="6"/>
      <c r="K12" t="str">
        <f t="shared" si="3"/>
        <v>California</v>
      </c>
      <c r="L12" t="str">
        <f t="shared" si="1"/>
        <v>El Dorado County</v>
      </c>
      <c r="M12">
        <f t="shared" si="4"/>
        <v>2092.8000000000002</v>
      </c>
    </row>
    <row r="13" spans="1:13" x14ac:dyDescent="0.25">
      <c r="A13" t="s">
        <v>19</v>
      </c>
      <c r="B13" t="s">
        <v>28</v>
      </c>
      <c r="C13" s="5">
        <v>279</v>
      </c>
      <c r="D13" s="5">
        <v>12662.500000000002</v>
      </c>
      <c r="F13" t="str">
        <f t="shared" si="2"/>
        <v>California</v>
      </c>
      <c r="G13" t="str">
        <f t="shared" si="0"/>
        <v>Fresno County</v>
      </c>
      <c r="H13">
        <f t="shared" si="0"/>
        <v>279</v>
      </c>
      <c r="J13" s="6"/>
      <c r="K13" t="str">
        <f t="shared" si="3"/>
        <v>California</v>
      </c>
      <c r="L13" t="str">
        <f t="shared" si="1"/>
        <v>Fresno County</v>
      </c>
      <c r="M13">
        <f t="shared" si="4"/>
        <v>12662.500000000002</v>
      </c>
    </row>
    <row r="14" spans="1:13" x14ac:dyDescent="0.25">
      <c r="A14" t="s">
        <v>19</v>
      </c>
      <c r="B14" t="s">
        <v>208</v>
      </c>
      <c r="C14" s="5">
        <v>9</v>
      </c>
      <c r="D14" s="5">
        <v>343.2</v>
      </c>
      <c r="F14" t="str">
        <f t="shared" si="2"/>
        <v>California</v>
      </c>
      <c r="G14" t="str">
        <f t="shared" si="0"/>
        <v>Glenn County</v>
      </c>
      <c r="H14">
        <f t="shared" si="0"/>
        <v>9</v>
      </c>
      <c r="J14" s="6"/>
      <c r="K14" t="str">
        <f t="shared" si="3"/>
        <v>California</v>
      </c>
      <c r="L14" t="str">
        <f t="shared" si="1"/>
        <v>Glenn County</v>
      </c>
      <c r="M14">
        <f t="shared" si="4"/>
        <v>343.2</v>
      </c>
    </row>
    <row r="15" spans="1:13" x14ac:dyDescent="0.25">
      <c r="A15" t="s">
        <v>19</v>
      </c>
      <c r="B15" t="s">
        <v>587</v>
      </c>
      <c r="C15" s="5">
        <v>49</v>
      </c>
      <c r="D15" s="5">
        <v>2188.2999999999997</v>
      </c>
      <c r="F15" t="str">
        <f t="shared" si="2"/>
        <v>California</v>
      </c>
      <c r="G15" t="str">
        <f t="shared" si="0"/>
        <v>Humboldt County</v>
      </c>
      <c r="H15">
        <f t="shared" si="0"/>
        <v>49</v>
      </c>
      <c r="J15" s="6"/>
      <c r="K15" t="str">
        <f t="shared" si="3"/>
        <v>California</v>
      </c>
      <c r="L15" t="str">
        <f t="shared" si="1"/>
        <v>Humboldt County</v>
      </c>
      <c r="M15">
        <f t="shared" si="4"/>
        <v>2188.2999999999997</v>
      </c>
    </row>
    <row r="16" spans="1:13" x14ac:dyDescent="0.25">
      <c r="A16" t="s">
        <v>19</v>
      </c>
      <c r="B16" t="s">
        <v>331</v>
      </c>
      <c r="C16" s="5">
        <v>59</v>
      </c>
      <c r="D16" s="5">
        <v>2661.5999999999995</v>
      </c>
      <c r="F16" t="str">
        <f t="shared" si="2"/>
        <v>California</v>
      </c>
      <c r="G16" t="str">
        <f t="shared" si="0"/>
        <v>Imperial County</v>
      </c>
      <c r="H16">
        <f t="shared" si="0"/>
        <v>59</v>
      </c>
      <c r="J16" s="6"/>
      <c r="K16" t="str">
        <f t="shared" si="3"/>
        <v>California</v>
      </c>
      <c r="L16" t="str">
        <f t="shared" si="1"/>
        <v>Imperial County</v>
      </c>
      <c r="M16">
        <f t="shared" si="4"/>
        <v>2661.5999999999995</v>
      </c>
    </row>
    <row r="17" spans="1:13" x14ac:dyDescent="0.25">
      <c r="A17" t="s">
        <v>19</v>
      </c>
      <c r="B17" t="s">
        <v>86</v>
      </c>
      <c r="C17" s="5">
        <v>8</v>
      </c>
      <c r="D17" s="5">
        <v>887.5</v>
      </c>
      <c r="F17" t="str">
        <f t="shared" si="2"/>
        <v>California</v>
      </c>
      <c r="G17" t="str">
        <f t="shared" si="0"/>
        <v>Inyo County</v>
      </c>
      <c r="H17">
        <f t="shared" si="0"/>
        <v>8</v>
      </c>
      <c r="J17" s="6"/>
      <c r="K17" t="str">
        <f t="shared" si="3"/>
        <v>California</v>
      </c>
      <c r="L17" t="str">
        <f t="shared" si="1"/>
        <v>Inyo County</v>
      </c>
      <c r="M17">
        <f t="shared" si="4"/>
        <v>887.5</v>
      </c>
    </row>
    <row r="18" spans="1:13" x14ac:dyDescent="0.25">
      <c r="A18" t="s">
        <v>19</v>
      </c>
      <c r="B18" t="s">
        <v>147</v>
      </c>
      <c r="C18" s="5">
        <v>222</v>
      </c>
      <c r="D18" s="5">
        <v>11354.199999999993</v>
      </c>
      <c r="F18" t="str">
        <f t="shared" si="2"/>
        <v>California</v>
      </c>
      <c r="G18" t="str">
        <f t="shared" si="0"/>
        <v>Kern County</v>
      </c>
      <c r="H18">
        <f t="shared" si="0"/>
        <v>222</v>
      </c>
      <c r="J18" s="6"/>
      <c r="K18" t="str">
        <f t="shared" si="3"/>
        <v>California</v>
      </c>
      <c r="L18" t="str">
        <f t="shared" si="1"/>
        <v>Kern County</v>
      </c>
      <c r="M18">
        <f t="shared" si="4"/>
        <v>11354.199999999993</v>
      </c>
    </row>
    <row r="19" spans="1:13" x14ac:dyDescent="0.25">
      <c r="A19" t="s">
        <v>19</v>
      </c>
      <c r="B19" t="s">
        <v>334</v>
      </c>
      <c r="C19" s="5">
        <v>36</v>
      </c>
      <c r="D19" s="5">
        <v>1558.4</v>
      </c>
      <c r="F19" t="str">
        <f t="shared" si="2"/>
        <v>California</v>
      </c>
      <c r="G19" t="str">
        <f t="shared" si="0"/>
        <v>Kings County</v>
      </c>
      <c r="H19">
        <f t="shared" si="0"/>
        <v>36</v>
      </c>
      <c r="J19" s="6"/>
      <c r="K19" t="str">
        <f t="shared" si="3"/>
        <v>California</v>
      </c>
      <c r="L19" t="str">
        <f t="shared" si="1"/>
        <v>Kings County</v>
      </c>
      <c r="M19">
        <f t="shared" si="4"/>
        <v>1558.4</v>
      </c>
    </row>
    <row r="20" spans="1:13" x14ac:dyDescent="0.25">
      <c r="A20" t="s">
        <v>19</v>
      </c>
      <c r="B20" t="s">
        <v>949</v>
      </c>
      <c r="C20" s="5">
        <v>30</v>
      </c>
      <c r="D20" s="5">
        <v>2223.9</v>
      </c>
      <c r="F20" t="str">
        <f t="shared" si="2"/>
        <v>California</v>
      </c>
      <c r="G20" t="str">
        <f t="shared" ref="G20:G56" si="5">IF(B20="","",B20)</f>
        <v>Lake County</v>
      </c>
      <c r="H20">
        <f t="shared" ref="H20:H56" si="6">IF(C20="","",C20)</f>
        <v>30</v>
      </c>
      <c r="J20" s="6"/>
      <c r="K20" t="str">
        <f t="shared" si="3"/>
        <v>California</v>
      </c>
      <c r="L20" t="str">
        <f t="shared" ref="L20:L56" si="7">IF(B20="","",B20)</f>
        <v>Lake County</v>
      </c>
      <c r="M20">
        <f t="shared" si="4"/>
        <v>2223.9</v>
      </c>
    </row>
    <row r="21" spans="1:13" x14ac:dyDescent="0.25">
      <c r="A21" t="s">
        <v>19</v>
      </c>
      <c r="B21" t="s">
        <v>1426</v>
      </c>
      <c r="C21" s="5">
        <v>1</v>
      </c>
      <c r="D21" s="5">
        <v>26.2</v>
      </c>
      <c r="F21" t="str">
        <f t="shared" si="2"/>
        <v>California</v>
      </c>
      <c r="G21" t="str">
        <f t="shared" si="5"/>
        <v>Lassen County</v>
      </c>
      <c r="H21">
        <f t="shared" si="6"/>
        <v>1</v>
      </c>
      <c r="J21" s="6"/>
      <c r="K21" t="str">
        <f t="shared" si="3"/>
        <v>California</v>
      </c>
      <c r="L21" t="str">
        <f t="shared" si="7"/>
        <v>Lassen County</v>
      </c>
      <c r="M21">
        <f t="shared" si="4"/>
        <v>26.2</v>
      </c>
    </row>
    <row r="22" spans="1:13" x14ac:dyDescent="0.25">
      <c r="A22" t="s">
        <v>19</v>
      </c>
      <c r="B22" t="s">
        <v>33</v>
      </c>
      <c r="C22" s="5">
        <v>3991</v>
      </c>
      <c r="D22" s="5">
        <v>215551.19999999981</v>
      </c>
      <c r="F22" t="str">
        <f t="shared" si="2"/>
        <v>California</v>
      </c>
      <c r="G22" t="str">
        <f t="shared" si="5"/>
        <v>Los Angeles County</v>
      </c>
      <c r="H22">
        <f t="shared" si="6"/>
        <v>3991</v>
      </c>
      <c r="J22" s="6"/>
      <c r="K22" t="str">
        <f t="shared" si="3"/>
        <v>California</v>
      </c>
      <c r="L22" t="str">
        <f t="shared" si="7"/>
        <v>Los Angeles County</v>
      </c>
      <c r="M22">
        <f t="shared" si="4"/>
        <v>215551.19999999981</v>
      </c>
    </row>
    <row r="23" spans="1:13" x14ac:dyDescent="0.25">
      <c r="A23" t="s">
        <v>19</v>
      </c>
      <c r="B23" t="s">
        <v>364</v>
      </c>
      <c r="C23" s="5">
        <v>45</v>
      </c>
      <c r="D23" s="5">
        <v>2687.3999999999996</v>
      </c>
      <c r="F23" t="str">
        <f t="shared" si="2"/>
        <v>California</v>
      </c>
      <c r="G23" t="str">
        <f t="shared" si="5"/>
        <v>Madera County</v>
      </c>
      <c r="H23">
        <f t="shared" si="6"/>
        <v>45</v>
      </c>
      <c r="J23" s="6"/>
      <c r="K23" t="str">
        <f t="shared" si="3"/>
        <v>California</v>
      </c>
      <c r="L23" t="str">
        <f t="shared" si="7"/>
        <v>Madera County</v>
      </c>
      <c r="M23">
        <f t="shared" si="4"/>
        <v>2687.3999999999996</v>
      </c>
    </row>
    <row r="24" spans="1:13" x14ac:dyDescent="0.25">
      <c r="A24" t="s">
        <v>19</v>
      </c>
      <c r="B24" t="s">
        <v>545</v>
      </c>
      <c r="C24" s="5">
        <v>39</v>
      </c>
      <c r="D24" s="5">
        <v>1463.3000000000002</v>
      </c>
      <c r="F24" t="str">
        <f t="shared" si="2"/>
        <v>California</v>
      </c>
      <c r="G24" t="str">
        <f t="shared" si="5"/>
        <v>Marin County</v>
      </c>
      <c r="H24">
        <f t="shared" si="6"/>
        <v>39</v>
      </c>
      <c r="J24" s="6"/>
      <c r="K24" t="str">
        <f t="shared" si="3"/>
        <v>California</v>
      </c>
      <c r="L24" t="str">
        <f t="shared" si="7"/>
        <v>Marin County</v>
      </c>
      <c r="M24">
        <f t="shared" si="4"/>
        <v>1463.3000000000002</v>
      </c>
    </row>
    <row r="25" spans="1:13" x14ac:dyDescent="0.25">
      <c r="A25" t="s">
        <v>19</v>
      </c>
      <c r="B25" t="s">
        <v>416</v>
      </c>
      <c r="C25" s="5">
        <v>6</v>
      </c>
      <c r="D25" s="5">
        <v>445.79999999999995</v>
      </c>
      <c r="F25" t="str">
        <f t="shared" si="2"/>
        <v>California</v>
      </c>
      <c r="G25" t="str">
        <f t="shared" si="5"/>
        <v>Mariposa County</v>
      </c>
      <c r="H25">
        <f t="shared" si="6"/>
        <v>6</v>
      </c>
      <c r="J25" s="6"/>
      <c r="K25" t="str">
        <f t="shared" si="3"/>
        <v>California</v>
      </c>
      <c r="L25" t="str">
        <f t="shared" si="7"/>
        <v>Mariposa County</v>
      </c>
      <c r="M25">
        <f t="shared" si="4"/>
        <v>445.79999999999995</v>
      </c>
    </row>
    <row r="26" spans="1:13" x14ac:dyDescent="0.25">
      <c r="A26" t="s">
        <v>19</v>
      </c>
      <c r="B26" t="s">
        <v>258</v>
      </c>
      <c r="C26" s="5">
        <v>9</v>
      </c>
      <c r="D26" s="5">
        <v>273.59999999999997</v>
      </c>
      <c r="F26" t="str">
        <f t="shared" si="2"/>
        <v>California</v>
      </c>
      <c r="G26" t="str">
        <f t="shared" si="5"/>
        <v>Mendocino County</v>
      </c>
      <c r="H26">
        <f t="shared" si="6"/>
        <v>9</v>
      </c>
      <c r="J26" s="6"/>
      <c r="K26" t="str">
        <f t="shared" si="3"/>
        <v>California</v>
      </c>
      <c r="L26" t="str">
        <f t="shared" si="7"/>
        <v>Mendocino County</v>
      </c>
      <c r="M26">
        <f t="shared" si="4"/>
        <v>273.59999999999997</v>
      </c>
    </row>
    <row r="27" spans="1:13" x14ac:dyDescent="0.25">
      <c r="A27" t="s">
        <v>19</v>
      </c>
      <c r="B27" t="s">
        <v>186</v>
      </c>
      <c r="C27" s="5">
        <v>60</v>
      </c>
      <c r="D27" s="5">
        <v>2690.4</v>
      </c>
      <c r="F27" t="str">
        <f t="shared" si="2"/>
        <v>California</v>
      </c>
      <c r="G27" t="str">
        <f t="shared" si="5"/>
        <v>Merced County</v>
      </c>
      <c r="H27">
        <f t="shared" si="6"/>
        <v>60</v>
      </c>
      <c r="J27" s="6"/>
      <c r="K27" t="str">
        <f t="shared" si="3"/>
        <v>California</v>
      </c>
      <c r="L27" t="str">
        <f t="shared" si="7"/>
        <v>Merced County</v>
      </c>
      <c r="M27">
        <f t="shared" si="4"/>
        <v>2690.4</v>
      </c>
    </row>
    <row r="28" spans="1:13" x14ac:dyDescent="0.25">
      <c r="A28" t="s">
        <v>19</v>
      </c>
      <c r="B28" t="s">
        <v>392</v>
      </c>
      <c r="C28" s="5">
        <v>2</v>
      </c>
      <c r="D28" s="5">
        <v>28.4</v>
      </c>
      <c r="F28" t="str">
        <f t="shared" si="2"/>
        <v>California</v>
      </c>
      <c r="G28" t="str">
        <f t="shared" si="5"/>
        <v>Modoc County</v>
      </c>
      <c r="H28">
        <f t="shared" si="6"/>
        <v>2</v>
      </c>
      <c r="J28" s="6"/>
      <c r="K28" t="str">
        <f t="shared" si="3"/>
        <v>California</v>
      </c>
      <c r="L28" t="str">
        <f t="shared" si="7"/>
        <v>Modoc County</v>
      </c>
      <c r="M28">
        <f t="shared" si="4"/>
        <v>28.4</v>
      </c>
    </row>
    <row r="29" spans="1:13" x14ac:dyDescent="0.25">
      <c r="A29" t="s">
        <v>19</v>
      </c>
      <c r="B29" t="s">
        <v>670</v>
      </c>
      <c r="C29" s="5">
        <v>4</v>
      </c>
      <c r="D29" s="5">
        <v>204.8</v>
      </c>
      <c r="F29" t="str">
        <f t="shared" si="2"/>
        <v>California</v>
      </c>
      <c r="G29" t="str">
        <f t="shared" si="5"/>
        <v>Mono County</v>
      </c>
      <c r="H29">
        <f t="shared" si="6"/>
        <v>4</v>
      </c>
      <c r="J29" s="6"/>
      <c r="K29" t="str">
        <f t="shared" si="3"/>
        <v>California</v>
      </c>
      <c r="L29" t="str">
        <f t="shared" si="7"/>
        <v>Mono County</v>
      </c>
      <c r="M29">
        <f t="shared" si="4"/>
        <v>204.8</v>
      </c>
    </row>
    <row r="30" spans="1:13" x14ac:dyDescent="0.25">
      <c r="A30" t="s">
        <v>19</v>
      </c>
      <c r="B30" t="s">
        <v>802</v>
      </c>
      <c r="C30" s="5">
        <v>31</v>
      </c>
      <c r="D30" s="5">
        <v>1607.8999999999999</v>
      </c>
      <c r="F30" t="str">
        <f t="shared" si="2"/>
        <v>California</v>
      </c>
      <c r="G30" t="str">
        <f t="shared" si="5"/>
        <v>Monterey County</v>
      </c>
      <c r="H30">
        <f t="shared" si="6"/>
        <v>31</v>
      </c>
      <c r="J30" s="6"/>
      <c r="K30" t="str">
        <f t="shared" si="3"/>
        <v>California</v>
      </c>
      <c r="L30" t="str">
        <f t="shared" si="7"/>
        <v>Monterey County</v>
      </c>
      <c r="M30">
        <f t="shared" si="4"/>
        <v>1607.8999999999999</v>
      </c>
    </row>
    <row r="31" spans="1:13" x14ac:dyDescent="0.25">
      <c r="A31" t="s">
        <v>19</v>
      </c>
      <c r="B31" t="s">
        <v>98</v>
      </c>
      <c r="C31" s="5">
        <v>88</v>
      </c>
      <c r="D31" s="5">
        <v>6444.9</v>
      </c>
      <c r="F31" t="str">
        <f t="shared" si="2"/>
        <v>California</v>
      </c>
      <c r="G31" t="str">
        <f t="shared" si="5"/>
        <v>Napa County</v>
      </c>
      <c r="H31">
        <f t="shared" si="6"/>
        <v>88</v>
      </c>
      <c r="J31" s="6"/>
      <c r="K31" t="str">
        <f t="shared" si="3"/>
        <v>California</v>
      </c>
      <c r="L31" t="str">
        <f t="shared" si="7"/>
        <v>Napa County</v>
      </c>
      <c r="M31">
        <f t="shared" si="4"/>
        <v>6444.9</v>
      </c>
    </row>
    <row r="32" spans="1:13" x14ac:dyDescent="0.25">
      <c r="A32" t="s">
        <v>19</v>
      </c>
      <c r="B32" t="s">
        <v>49</v>
      </c>
      <c r="C32" s="5">
        <v>25</v>
      </c>
      <c r="D32" s="5">
        <v>1809.3</v>
      </c>
      <c r="F32" t="str">
        <f t="shared" si="2"/>
        <v>California</v>
      </c>
      <c r="G32" t="str">
        <f t="shared" si="5"/>
        <v>Nevada County</v>
      </c>
      <c r="H32">
        <f t="shared" si="6"/>
        <v>25</v>
      </c>
      <c r="J32" s="6"/>
      <c r="K32" t="str">
        <f t="shared" si="3"/>
        <v>California</v>
      </c>
      <c r="L32" t="str">
        <f t="shared" si="7"/>
        <v>Nevada County</v>
      </c>
      <c r="M32">
        <f t="shared" si="4"/>
        <v>1809.3</v>
      </c>
    </row>
    <row r="33" spans="1:13" x14ac:dyDescent="0.25">
      <c r="A33" t="s">
        <v>19</v>
      </c>
      <c r="B33" t="s">
        <v>188</v>
      </c>
      <c r="C33" s="5">
        <v>178</v>
      </c>
      <c r="D33" s="5">
        <v>9680.399999999996</v>
      </c>
      <c r="F33" t="str">
        <f t="shared" si="2"/>
        <v>California</v>
      </c>
      <c r="G33" t="str">
        <f t="shared" si="5"/>
        <v>Orange County</v>
      </c>
      <c r="H33">
        <f t="shared" si="6"/>
        <v>178</v>
      </c>
      <c r="J33" s="6"/>
      <c r="K33" t="str">
        <f t="shared" si="3"/>
        <v>California</v>
      </c>
      <c r="L33" t="str">
        <f t="shared" si="7"/>
        <v>Orange County</v>
      </c>
      <c r="M33">
        <f t="shared" si="4"/>
        <v>9680.399999999996</v>
      </c>
    </row>
    <row r="34" spans="1:13" x14ac:dyDescent="0.25">
      <c r="A34" t="s">
        <v>19</v>
      </c>
      <c r="B34" t="s">
        <v>52</v>
      </c>
      <c r="C34" s="5">
        <v>141</v>
      </c>
      <c r="D34" s="5">
        <v>9414.7999999999993</v>
      </c>
      <c r="F34" t="str">
        <f t="shared" si="2"/>
        <v>California</v>
      </c>
      <c r="G34" t="str">
        <f t="shared" si="5"/>
        <v>Placer County</v>
      </c>
      <c r="H34">
        <f t="shared" si="6"/>
        <v>141</v>
      </c>
      <c r="J34" s="6"/>
      <c r="K34" t="str">
        <f t="shared" si="3"/>
        <v>California</v>
      </c>
      <c r="L34" t="str">
        <f t="shared" si="7"/>
        <v>Placer County</v>
      </c>
      <c r="M34">
        <f t="shared" si="4"/>
        <v>9414.7999999999993</v>
      </c>
    </row>
    <row r="35" spans="1:13" x14ac:dyDescent="0.25">
      <c r="A35" t="s">
        <v>19</v>
      </c>
      <c r="B35" t="s">
        <v>338</v>
      </c>
      <c r="C35" s="5">
        <v>6</v>
      </c>
      <c r="D35" s="5">
        <v>206.1</v>
      </c>
      <c r="F35" t="str">
        <f t="shared" si="2"/>
        <v>California</v>
      </c>
      <c r="G35" t="str">
        <f t="shared" si="5"/>
        <v>Plumas County</v>
      </c>
      <c r="H35">
        <f t="shared" si="6"/>
        <v>6</v>
      </c>
      <c r="J35" s="6"/>
      <c r="K35" t="str">
        <f t="shared" si="3"/>
        <v>California</v>
      </c>
      <c r="L35" t="str">
        <f t="shared" si="7"/>
        <v>Plumas County</v>
      </c>
      <c r="M35">
        <f t="shared" si="4"/>
        <v>206.1</v>
      </c>
    </row>
    <row r="36" spans="1:13" x14ac:dyDescent="0.25">
      <c r="A36" t="s">
        <v>19</v>
      </c>
      <c r="B36" t="s">
        <v>158</v>
      </c>
      <c r="C36" s="5">
        <v>178</v>
      </c>
      <c r="D36" s="5">
        <v>7691.3</v>
      </c>
      <c r="F36" t="str">
        <f t="shared" si="2"/>
        <v>California</v>
      </c>
      <c r="G36" t="str">
        <f t="shared" si="5"/>
        <v>Riverside County</v>
      </c>
      <c r="H36">
        <f t="shared" si="6"/>
        <v>178</v>
      </c>
      <c r="J36" s="6"/>
      <c r="K36" t="str">
        <f t="shared" si="3"/>
        <v>California</v>
      </c>
      <c r="L36" t="str">
        <f t="shared" si="7"/>
        <v>Riverside County</v>
      </c>
      <c r="M36">
        <f t="shared" si="4"/>
        <v>7691.3</v>
      </c>
    </row>
    <row r="37" spans="1:13" x14ac:dyDescent="0.25">
      <c r="A37" t="s">
        <v>19</v>
      </c>
      <c r="B37" t="s">
        <v>55</v>
      </c>
      <c r="C37" s="5">
        <v>699</v>
      </c>
      <c r="D37" s="5">
        <v>37784.900000000016</v>
      </c>
      <c r="F37" t="str">
        <f t="shared" si="2"/>
        <v>California</v>
      </c>
      <c r="G37" t="str">
        <f t="shared" si="5"/>
        <v>Sacramento County</v>
      </c>
      <c r="H37">
        <f t="shared" si="6"/>
        <v>699</v>
      </c>
      <c r="J37" s="6"/>
      <c r="K37" t="str">
        <f t="shared" si="3"/>
        <v>California</v>
      </c>
      <c r="L37" t="str">
        <f t="shared" si="7"/>
        <v>Sacramento County</v>
      </c>
      <c r="M37">
        <f t="shared" si="4"/>
        <v>37784.900000000016</v>
      </c>
    </row>
    <row r="38" spans="1:13" x14ac:dyDescent="0.25">
      <c r="A38" t="s">
        <v>19</v>
      </c>
      <c r="B38" t="s">
        <v>342</v>
      </c>
      <c r="C38" s="5">
        <v>23</v>
      </c>
      <c r="D38" s="5">
        <v>1129.7</v>
      </c>
      <c r="F38" t="str">
        <f t="shared" si="2"/>
        <v>California</v>
      </c>
      <c r="G38" t="str">
        <f t="shared" si="5"/>
        <v>San Benito County</v>
      </c>
      <c r="H38">
        <f t="shared" si="6"/>
        <v>23</v>
      </c>
      <c r="J38" s="6"/>
      <c r="K38" t="str">
        <f t="shared" si="3"/>
        <v>California</v>
      </c>
      <c r="L38" t="str">
        <f t="shared" si="7"/>
        <v>San Benito County</v>
      </c>
      <c r="M38">
        <f t="shared" si="4"/>
        <v>1129.7</v>
      </c>
    </row>
    <row r="39" spans="1:13" x14ac:dyDescent="0.25">
      <c r="A39" t="s">
        <v>19</v>
      </c>
      <c r="B39" t="s">
        <v>59</v>
      </c>
      <c r="C39" s="5">
        <v>356</v>
      </c>
      <c r="D39" s="5">
        <v>20988.9</v>
      </c>
      <c r="F39" t="str">
        <f t="shared" si="2"/>
        <v>California</v>
      </c>
      <c r="G39" t="str">
        <f t="shared" si="5"/>
        <v>San Bernardino County</v>
      </c>
      <c r="H39">
        <f t="shared" si="6"/>
        <v>356</v>
      </c>
      <c r="J39" s="6"/>
      <c r="K39" t="str">
        <f t="shared" si="3"/>
        <v>California</v>
      </c>
      <c r="L39" t="str">
        <f t="shared" si="7"/>
        <v>San Bernardino County</v>
      </c>
      <c r="M39">
        <f t="shared" si="4"/>
        <v>20988.9</v>
      </c>
    </row>
    <row r="40" spans="1:13" x14ac:dyDescent="0.25">
      <c r="A40" t="s">
        <v>19</v>
      </c>
      <c r="B40" t="s">
        <v>62</v>
      </c>
      <c r="C40" s="5">
        <v>1768</v>
      </c>
      <c r="D40" s="5">
        <v>98367.099999999977</v>
      </c>
      <c r="F40" t="str">
        <f t="shared" si="2"/>
        <v>California</v>
      </c>
      <c r="G40" t="str">
        <f t="shared" si="5"/>
        <v>San Diego County</v>
      </c>
      <c r="H40">
        <f t="shared" si="6"/>
        <v>1768</v>
      </c>
      <c r="J40" s="6"/>
      <c r="K40" t="str">
        <f t="shared" si="3"/>
        <v>California</v>
      </c>
      <c r="L40" t="str">
        <f t="shared" si="7"/>
        <v>San Diego County</v>
      </c>
      <c r="M40">
        <f t="shared" si="4"/>
        <v>98367.099999999977</v>
      </c>
    </row>
    <row r="41" spans="1:13" x14ac:dyDescent="0.25">
      <c r="A41" t="s">
        <v>19</v>
      </c>
      <c r="B41" t="s">
        <v>103</v>
      </c>
      <c r="C41" s="5">
        <v>307</v>
      </c>
      <c r="D41" s="5">
        <v>21911.9</v>
      </c>
      <c r="F41" t="str">
        <f t="shared" si="2"/>
        <v>California</v>
      </c>
      <c r="G41" t="str">
        <f t="shared" si="5"/>
        <v>San Francisco</v>
      </c>
      <c r="H41">
        <f t="shared" si="6"/>
        <v>307</v>
      </c>
      <c r="J41" s="6"/>
      <c r="K41" t="str">
        <f t="shared" si="3"/>
        <v>California</v>
      </c>
      <c r="L41" t="str">
        <f t="shared" si="7"/>
        <v>San Francisco</v>
      </c>
      <c r="M41">
        <f t="shared" si="4"/>
        <v>21911.9</v>
      </c>
    </row>
    <row r="42" spans="1:13" x14ac:dyDescent="0.25">
      <c r="A42" t="s">
        <v>19</v>
      </c>
      <c r="B42" t="s">
        <v>201</v>
      </c>
      <c r="C42" s="5">
        <v>117</v>
      </c>
      <c r="D42" s="5">
        <v>5441.2</v>
      </c>
      <c r="F42" t="str">
        <f t="shared" si="2"/>
        <v>California</v>
      </c>
      <c r="G42" t="str">
        <f t="shared" si="5"/>
        <v>San Joaquin County</v>
      </c>
      <c r="H42">
        <f t="shared" si="6"/>
        <v>117</v>
      </c>
      <c r="J42" s="6"/>
      <c r="K42" t="str">
        <f t="shared" si="3"/>
        <v>California</v>
      </c>
      <c r="L42" t="str">
        <f t="shared" si="7"/>
        <v>San Joaquin County</v>
      </c>
      <c r="M42">
        <f t="shared" si="4"/>
        <v>5441.2</v>
      </c>
    </row>
    <row r="43" spans="1:13" x14ac:dyDescent="0.25">
      <c r="A43" t="s">
        <v>19</v>
      </c>
      <c r="B43" t="s">
        <v>429</v>
      </c>
      <c r="C43" s="5">
        <v>13</v>
      </c>
      <c r="D43" s="5">
        <v>392.8</v>
      </c>
      <c r="F43" t="str">
        <f t="shared" si="2"/>
        <v>California</v>
      </c>
      <c r="G43" t="str">
        <f t="shared" si="5"/>
        <v>San Luis Obispo County</v>
      </c>
      <c r="H43">
        <f t="shared" si="6"/>
        <v>13</v>
      </c>
      <c r="J43" s="6"/>
      <c r="K43" t="str">
        <f t="shared" si="3"/>
        <v>California</v>
      </c>
      <c r="L43" t="str">
        <f t="shared" si="7"/>
        <v>San Luis Obispo County</v>
      </c>
      <c r="M43">
        <f t="shared" si="4"/>
        <v>392.8</v>
      </c>
    </row>
    <row r="44" spans="1:13" x14ac:dyDescent="0.25">
      <c r="A44" t="s">
        <v>19</v>
      </c>
      <c r="B44" t="s">
        <v>72</v>
      </c>
      <c r="C44" s="5">
        <v>364</v>
      </c>
      <c r="D44" s="5">
        <v>16172.000000000005</v>
      </c>
      <c r="F44" t="str">
        <f t="shared" si="2"/>
        <v>California</v>
      </c>
      <c r="G44" t="str">
        <f t="shared" si="5"/>
        <v>San Mateo County</v>
      </c>
      <c r="H44">
        <f t="shared" si="6"/>
        <v>364</v>
      </c>
      <c r="J44" s="6"/>
      <c r="K44" t="str">
        <f t="shared" si="3"/>
        <v>California</v>
      </c>
      <c r="L44" t="str">
        <f t="shared" si="7"/>
        <v>San Mateo County</v>
      </c>
      <c r="M44">
        <f t="shared" si="4"/>
        <v>16172.000000000005</v>
      </c>
    </row>
    <row r="45" spans="1:13" x14ac:dyDescent="0.25">
      <c r="A45" t="s">
        <v>19</v>
      </c>
      <c r="B45" t="s">
        <v>74</v>
      </c>
      <c r="C45" s="5">
        <v>95</v>
      </c>
      <c r="D45" s="5">
        <v>4334.9999999999991</v>
      </c>
      <c r="F45" t="str">
        <f t="shared" si="2"/>
        <v>California</v>
      </c>
      <c r="G45" t="str">
        <f t="shared" si="5"/>
        <v>Santa Barbara County</v>
      </c>
      <c r="H45">
        <f t="shared" si="6"/>
        <v>95</v>
      </c>
      <c r="J45" s="6"/>
      <c r="K45" t="str">
        <f t="shared" si="3"/>
        <v>California</v>
      </c>
      <c r="L45" t="str">
        <f t="shared" si="7"/>
        <v>Santa Barbara County</v>
      </c>
      <c r="M45">
        <f t="shared" si="4"/>
        <v>4334.9999999999991</v>
      </c>
    </row>
    <row r="46" spans="1:13" x14ac:dyDescent="0.25">
      <c r="A46" t="s">
        <v>19</v>
      </c>
      <c r="B46" t="s">
        <v>77</v>
      </c>
      <c r="C46" s="5">
        <v>737</v>
      </c>
      <c r="D46" s="5">
        <v>37449.000000000007</v>
      </c>
      <c r="F46" t="str">
        <f t="shared" si="2"/>
        <v>California</v>
      </c>
      <c r="G46" t="str">
        <f t="shared" si="5"/>
        <v>Santa Clara County</v>
      </c>
      <c r="H46">
        <f t="shared" si="6"/>
        <v>737</v>
      </c>
      <c r="J46" s="6"/>
      <c r="K46" t="str">
        <f t="shared" si="3"/>
        <v>California</v>
      </c>
      <c r="L46" t="str">
        <f t="shared" si="7"/>
        <v>Santa Clara County</v>
      </c>
      <c r="M46">
        <f t="shared" si="4"/>
        <v>37449.000000000007</v>
      </c>
    </row>
    <row r="47" spans="1:13" x14ac:dyDescent="0.25">
      <c r="A47" t="s">
        <v>19</v>
      </c>
      <c r="B47" t="s">
        <v>309</v>
      </c>
      <c r="C47" s="5">
        <v>39</v>
      </c>
      <c r="D47" s="5">
        <v>2447.5</v>
      </c>
      <c r="F47" t="str">
        <f t="shared" si="2"/>
        <v>California</v>
      </c>
      <c r="G47" t="str">
        <f t="shared" si="5"/>
        <v>Santa Cruz County</v>
      </c>
      <c r="H47">
        <f t="shared" si="6"/>
        <v>39</v>
      </c>
      <c r="J47" s="6"/>
      <c r="K47" t="str">
        <f t="shared" si="3"/>
        <v>California</v>
      </c>
      <c r="L47" t="str">
        <f t="shared" si="7"/>
        <v>Santa Cruz County</v>
      </c>
      <c r="M47">
        <f t="shared" si="4"/>
        <v>2447.5</v>
      </c>
    </row>
    <row r="48" spans="1:13" x14ac:dyDescent="0.25">
      <c r="A48" t="s">
        <v>19</v>
      </c>
      <c r="B48" t="s">
        <v>1116</v>
      </c>
      <c r="C48" s="5">
        <v>56</v>
      </c>
      <c r="D48" s="5">
        <v>3391.1</v>
      </c>
      <c r="F48" t="str">
        <f t="shared" si="2"/>
        <v>California</v>
      </c>
      <c r="G48" t="str">
        <f t="shared" si="5"/>
        <v>Shasta County</v>
      </c>
      <c r="H48">
        <f t="shared" si="6"/>
        <v>56</v>
      </c>
      <c r="J48" s="6"/>
      <c r="K48" t="str">
        <f t="shared" si="3"/>
        <v>California</v>
      </c>
      <c r="L48" t="str">
        <f t="shared" si="7"/>
        <v>Shasta County</v>
      </c>
      <c r="M48">
        <f t="shared" si="4"/>
        <v>3391.1</v>
      </c>
    </row>
    <row r="49" spans="1:13" x14ac:dyDescent="0.25">
      <c r="A49" t="s">
        <v>19</v>
      </c>
      <c r="B49" t="s">
        <v>700</v>
      </c>
      <c r="C49" s="5">
        <v>2</v>
      </c>
      <c r="D49" s="5">
        <v>30.8</v>
      </c>
      <c r="F49" t="str">
        <f t="shared" si="2"/>
        <v>California</v>
      </c>
      <c r="G49" t="str">
        <f t="shared" si="5"/>
        <v>Sierra County</v>
      </c>
      <c r="H49">
        <f t="shared" si="6"/>
        <v>2</v>
      </c>
      <c r="J49" s="6"/>
      <c r="K49" t="str">
        <f t="shared" si="3"/>
        <v>California</v>
      </c>
      <c r="L49" t="str">
        <f t="shared" si="7"/>
        <v>Sierra County</v>
      </c>
      <c r="M49">
        <f t="shared" si="4"/>
        <v>30.8</v>
      </c>
    </row>
    <row r="50" spans="1:13" x14ac:dyDescent="0.25">
      <c r="A50" t="s">
        <v>19</v>
      </c>
      <c r="B50" t="s">
        <v>268</v>
      </c>
      <c r="C50" s="5">
        <v>8</v>
      </c>
      <c r="D50" s="5">
        <v>332.3</v>
      </c>
      <c r="F50" t="str">
        <f t="shared" si="2"/>
        <v>California</v>
      </c>
      <c r="G50" t="str">
        <f t="shared" si="5"/>
        <v>Siskiyou County</v>
      </c>
      <c r="H50">
        <f t="shared" si="6"/>
        <v>8</v>
      </c>
      <c r="J50" s="6"/>
      <c r="K50" t="str">
        <f t="shared" si="3"/>
        <v>California</v>
      </c>
      <c r="L50" t="str">
        <f t="shared" si="7"/>
        <v>Siskiyou County</v>
      </c>
      <c r="M50">
        <f t="shared" si="4"/>
        <v>332.3</v>
      </c>
    </row>
    <row r="51" spans="1:13" x14ac:dyDescent="0.25">
      <c r="A51" t="s">
        <v>19</v>
      </c>
      <c r="B51" t="s">
        <v>377</v>
      </c>
      <c r="C51" s="5">
        <v>52</v>
      </c>
      <c r="D51" s="5">
        <v>3175.9999999999995</v>
      </c>
      <c r="F51" t="str">
        <f t="shared" si="2"/>
        <v>California</v>
      </c>
      <c r="G51" t="str">
        <f t="shared" si="5"/>
        <v>Solano County</v>
      </c>
      <c r="H51">
        <f t="shared" si="6"/>
        <v>52</v>
      </c>
      <c r="J51" s="6"/>
      <c r="K51" t="str">
        <f t="shared" si="3"/>
        <v>California</v>
      </c>
      <c r="L51" t="str">
        <f t="shared" si="7"/>
        <v>Solano County</v>
      </c>
      <c r="M51">
        <f t="shared" si="4"/>
        <v>3175.9999999999995</v>
      </c>
    </row>
    <row r="52" spans="1:13" x14ac:dyDescent="0.25">
      <c r="A52" t="s">
        <v>19</v>
      </c>
      <c r="B52" t="s">
        <v>108</v>
      </c>
      <c r="C52" s="5">
        <v>295</v>
      </c>
      <c r="D52" s="5">
        <v>20939.600000000002</v>
      </c>
      <c r="F52" t="str">
        <f t="shared" si="2"/>
        <v>California</v>
      </c>
      <c r="G52" t="str">
        <f>IF(B52="","",B52)</f>
        <v>Sonoma County</v>
      </c>
      <c r="H52">
        <f t="shared" si="6"/>
        <v>295</v>
      </c>
      <c r="J52" s="6"/>
      <c r="K52" t="str">
        <f t="shared" si="3"/>
        <v>California</v>
      </c>
      <c r="L52" t="str">
        <f t="shared" si="7"/>
        <v>Sonoma County</v>
      </c>
      <c r="M52">
        <f t="shared" si="4"/>
        <v>20939.600000000002</v>
      </c>
    </row>
    <row r="53" spans="1:13" x14ac:dyDescent="0.25">
      <c r="A53" t="s">
        <v>19</v>
      </c>
      <c r="B53" t="s">
        <v>110</v>
      </c>
      <c r="C53" s="5">
        <v>195</v>
      </c>
      <c r="D53" s="5">
        <v>10185.899999999996</v>
      </c>
      <c r="F53" t="str">
        <f t="shared" si="2"/>
        <v>California</v>
      </c>
      <c r="G53" t="str">
        <f t="shared" si="5"/>
        <v>Stanislaus County</v>
      </c>
      <c r="H53">
        <f t="shared" si="6"/>
        <v>195</v>
      </c>
      <c r="J53" s="6"/>
      <c r="K53" t="str">
        <f t="shared" si="3"/>
        <v>California</v>
      </c>
      <c r="L53" t="str">
        <f t="shared" si="7"/>
        <v>Stanislaus County</v>
      </c>
      <c r="M53">
        <f t="shared" si="4"/>
        <v>10185.899999999996</v>
      </c>
    </row>
    <row r="54" spans="1:13" x14ac:dyDescent="0.25">
      <c r="A54" t="s">
        <v>19</v>
      </c>
      <c r="B54" t="s">
        <v>292</v>
      </c>
      <c r="C54" s="5">
        <v>20</v>
      </c>
      <c r="D54" s="5">
        <v>958.7</v>
      </c>
      <c r="F54" t="str">
        <f t="shared" si="2"/>
        <v>California</v>
      </c>
      <c r="G54" t="str">
        <f t="shared" si="5"/>
        <v>Sutter County</v>
      </c>
      <c r="H54">
        <f t="shared" si="6"/>
        <v>20</v>
      </c>
      <c r="J54" s="6"/>
      <c r="K54" t="str">
        <f t="shared" si="3"/>
        <v>California</v>
      </c>
      <c r="L54" t="str">
        <f t="shared" si="7"/>
        <v>Sutter County</v>
      </c>
      <c r="M54">
        <f t="shared" si="4"/>
        <v>958.7</v>
      </c>
    </row>
    <row r="55" spans="1:13" x14ac:dyDescent="0.25">
      <c r="A55" t="s">
        <v>19</v>
      </c>
      <c r="B55" t="s">
        <v>79</v>
      </c>
      <c r="C55" s="5">
        <v>6</v>
      </c>
      <c r="D55" s="5">
        <v>323</v>
      </c>
      <c r="F55" t="str">
        <f t="shared" si="2"/>
        <v>California</v>
      </c>
      <c r="G55" t="str">
        <f t="shared" si="5"/>
        <v>Tehama County</v>
      </c>
      <c r="H55">
        <f t="shared" si="6"/>
        <v>6</v>
      </c>
      <c r="J55" s="6"/>
      <c r="K55" t="str">
        <f t="shared" si="3"/>
        <v>California</v>
      </c>
      <c r="L55" t="str">
        <f t="shared" si="7"/>
        <v>Tehama County</v>
      </c>
      <c r="M55">
        <f t="shared" si="4"/>
        <v>323</v>
      </c>
    </row>
    <row r="56" spans="1:13" x14ac:dyDescent="0.25">
      <c r="A56" t="s">
        <v>19</v>
      </c>
      <c r="B56" t="s">
        <v>608</v>
      </c>
      <c r="C56" s="5">
        <v>5</v>
      </c>
      <c r="D56" s="5">
        <v>167.70000000000002</v>
      </c>
      <c r="F56" t="str">
        <f t="shared" si="2"/>
        <v>California</v>
      </c>
      <c r="G56" t="str">
        <f t="shared" si="5"/>
        <v>Trinity County</v>
      </c>
      <c r="H56">
        <f t="shared" si="6"/>
        <v>5</v>
      </c>
      <c r="J56" s="6"/>
      <c r="K56" t="str">
        <f t="shared" si="3"/>
        <v>California</v>
      </c>
      <c r="L56" t="str">
        <f t="shared" si="7"/>
        <v>Trinity County</v>
      </c>
      <c r="M56">
        <f t="shared" si="4"/>
        <v>167.70000000000002</v>
      </c>
    </row>
    <row r="57" spans="1:13" x14ac:dyDescent="0.25">
      <c r="A57" t="s">
        <v>19</v>
      </c>
      <c r="B57" t="s">
        <v>113</v>
      </c>
      <c r="C57" s="5">
        <v>94</v>
      </c>
      <c r="D57" s="5">
        <v>3978.5</v>
      </c>
      <c r="H57" s="5"/>
      <c r="J57" s="6"/>
      <c r="M57" s="5"/>
    </row>
    <row r="58" spans="1:13" x14ac:dyDescent="0.25">
      <c r="A58" t="s">
        <v>19</v>
      </c>
      <c r="B58" t="s">
        <v>997</v>
      </c>
      <c r="C58" s="5">
        <v>28</v>
      </c>
      <c r="D58" s="5">
        <v>1405</v>
      </c>
      <c r="H58" s="5"/>
      <c r="J58" s="6"/>
      <c r="M58" s="5"/>
    </row>
    <row r="59" spans="1:13" x14ac:dyDescent="0.25">
      <c r="A59" t="s">
        <v>19</v>
      </c>
      <c r="B59" t="s">
        <v>82</v>
      </c>
      <c r="C59" s="5">
        <v>179</v>
      </c>
      <c r="D59" s="5">
        <v>9869.0999999999985</v>
      </c>
      <c r="H59" s="5"/>
      <c r="J59" s="6"/>
      <c r="M59" s="5"/>
    </row>
    <row r="60" spans="1:13" x14ac:dyDescent="0.25">
      <c r="A60" t="s">
        <v>19</v>
      </c>
      <c r="B60" t="s">
        <v>243</v>
      </c>
      <c r="C60" s="5">
        <v>15</v>
      </c>
      <c r="D60" s="5">
        <v>615.29999999999995</v>
      </c>
      <c r="H60" s="5"/>
      <c r="J60" s="6"/>
      <c r="M60" s="5"/>
    </row>
    <row r="61" spans="1:13" x14ac:dyDescent="0.25">
      <c r="A61" t="s">
        <v>19</v>
      </c>
      <c r="B61" t="s">
        <v>1911</v>
      </c>
      <c r="C61" s="5">
        <v>3</v>
      </c>
      <c r="D61" s="5">
        <v>285</v>
      </c>
      <c r="H61" s="5"/>
      <c r="J61" s="6"/>
      <c r="M61" s="5"/>
    </row>
    <row r="62" spans="1:13" x14ac:dyDescent="0.25">
      <c r="A62" t="s">
        <v>2536</v>
      </c>
      <c r="C62" s="5">
        <v>11997</v>
      </c>
      <c r="D62" s="5">
        <v>649019.79999999981</v>
      </c>
    </row>
    <row r="63" spans="1:13" x14ac:dyDescent="0.25">
      <c r="A63" t="s">
        <v>2527</v>
      </c>
      <c r="C63" s="5">
        <v>11997</v>
      </c>
      <c r="D63" s="5">
        <v>649019.79999999981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20248-6A54-46FF-A3CA-35F4D7B6A3E4}">
  <dimension ref="A3:J19"/>
  <sheetViews>
    <sheetView workbookViewId="0">
      <selection activeCell="E6" sqref="E6"/>
    </sheetView>
  </sheetViews>
  <sheetFormatPr defaultRowHeight="15" x14ac:dyDescent="0.25"/>
  <cols>
    <col min="1" max="1" width="17.140625" bestFit="1" customWidth="1"/>
    <col min="2" max="2" width="14" bestFit="1" customWidth="1"/>
    <col min="4" max="4" width="22" bestFit="1" customWidth="1"/>
    <col min="5" max="9" width="10.85546875" bestFit="1" customWidth="1"/>
    <col min="10" max="10" width="11.28515625" bestFit="1" customWidth="1"/>
    <col min="11" max="92" width="13.140625" bestFit="1" customWidth="1"/>
    <col min="93" max="93" width="11.28515625" bestFit="1" customWidth="1"/>
  </cols>
  <sheetData>
    <row r="3" spans="1:10" x14ac:dyDescent="0.25">
      <c r="A3" s="7" t="s">
        <v>12</v>
      </c>
      <c r="B3" t="s">
        <v>2519</v>
      </c>
      <c r="D3" s="7" t="s">
        <v>2519</v>
      </c>
      <c r="E3" s="7" t="s">
        <v>9</v>
      </c>
    </row>
    <row r="4" spans="1:10" x14ac:dyDescent="0.25">
      <c r="A4">
        <v>0</v>
      </c>
      <c r="B4" s="5">
        <v>175</v>
      </c>
      <c r="D4" s="7" t="s">
        <v>2537</v>
      </c>
      <c r="E4">
        <v>1</v>
      </c>
      <c r="F4">
        <v>2</v>
      </c>
      <c r="G4">
        <v>3</v>
      </c>
      <c r="H4">
        <v>4</v>
      </c>
      <c r="I4">
        <v>5</v>
      </c>
      <c r="J4" t="s">
        <v>2527</v>
      </c>
    </row>
    <row r="5" spans="1:10" x14ac:dyDescent="0.25">
      <c r="A5">
        <v>1</v>
      </c>
      <c r="B5" s="5">
        <v>888</v>
      </c>
      <c r="D5" t="s">
        <v>2538</v>
      </c>
      <c r="E5" s="5">
        <v>7</v>
      </c>
      <c r="F5" s="5">
        <v>37</v>
      </c>
      <c r="G5" s="5">
        <v>150</v>
      </c>
      <c r="H5" s="5">
        <v>312</v>
      </c>
      <c r="I5" s="5">
        <v>224</v>
      </c>
      <c r="J5" s="5">
        <v>730</v>
      </c>
    </row>
    <row r="6" spans="1:10" x14ac:dyDescent="0.25">
      <c r="A6">
        <v>2</v>
      </c>
      <c r="B6" s="5">
        <v>538</v>
      </c>
      <c r="D6" t="s">
        <v>2539</v>
      </c>
      <c r="E6" s="5">
        <v>8</v>
      </c>
      <c r="F6" s="5">
        <v>51</v>
      </c>
      <c r="G6" s="5">
        <v>182</v>
      </c>
      <c r="H6" s="5">
        <v>373</v>
      </c>
      <c r="I6" s="5">
        <v>247</v>
      </c>
      <c r="J6" s="5">
        <v>861</v>
      </c>
    </row>
    <row r="7" spans="1:10" x14ac:dyDescent="0.25">
      <c r="A7">
        <v>3</v>
      </c>
      <c r="B7" s="5">
        <v>344</v>
      </c>
      <c r="D7" t="s">
        <v>2540</v>
      </c>
      <c r="E7" s="5">
        <v>6</v>
      </c>
      <c r="F7" s="5">
        <v>39</v>
      </c>
      <c r="G7" s="5">
        <v>163</v>
      </c>
      <c r="H7" s="5">
        <v>351</v>
      </c>
      <c r="I7" s="5">
        <v>250</v>
      </c>
      <c r="J7" s="5">
        <v>809</v>
      </c>
    </row>
    <row r="8" spans="1:10" x14ac:dyDescent="0.25">
      <c r="A8">
        <v>4</v>
      </c>
      <c r="B8" s="5">
        <v>200</v>
      </c>
      <c r="D8" t="s">
        <v>2527</v>
      </c>
      <c r="E8" s="5">
        <v>21</v>
      </c>
      <c r="F8" s="5">
        <v>127</v>
      </c>
      <c r="G8" s="5">
        <v>495</v>
      </c>
      <c r="H8" s="5">
        <v>1036</v>
      </c>
      <c r="I8" s="5">
        <v>721</v>
      </c>
      <c r="J8" s="5">
        <v>2400</v>
      </c>
    </row>
    <row r="9" spans="1:10" x14ac:dyDescent="0.25">
      <c r="A9">
        <v>5</v>
      </c>
      <c r="B9" s="5">
        <v>94</v>
      </c>
    </row>
    <row r="10" spans="1:10" x14ac:dyDescent="0.25">
      <c r="A10">
        <v>6</v>
      </c>
      <c r="B10" s="5">
        <v>51</v>
      </c>
    </row>
    <row r="11" spans="1:10" x14ac:dyDescent="0.25">
      <c r="A11">
        <v>7</v>
      </c>
      <c r="B11" s="5">
        <v>32</v>
      </c>
    </row>
    <row r="12" spans="1:10" x14ac:dyDescent="0.25">
      <c r="A12">
        <v>8</v>
      </c>
      <c r="B12" s="5">
        <v>23</v>
      </c>
    </row>
    <row r="13" spans="1:10" x14ac:dyDescent="0.25">
      <c r="A13">
        <v>9</v>
      </c>
      <c r="B13" s="5">
        <v>9</v>
      </c>
    </row>
    <row r="14" spans="1:10" x14ac:dyDescent="0.25">
      <c r="A14">
        <v>10</v>
      </c>
      <c r="B14" s="5">
        <v>8</v>
      </c>
    </row>
    <row r="15" spans="1:10" x14ac:dyDescent="0.25">
      <c r="A15">
        <v>11</v>
      </c>
      <c r="B15" s="5">
        <v>11</v>
      </c>
    </row>
    <row r="16" spans="1:10" x14ac:dyDescent="0.25">
      <c r="A16">
        <v>12</v>
      </c>
      <c r="B16" s="5">
        <v>4</v>
      </c>
    </row>
    <row r="17" spans="1:2" x14ac:dyDescent="0.25">
      <c r="A17">
        <v>13</v>
      </c>
      <c r="B17" s="5">
        <v>10</v>
      </c>
    </row>
    <row r="18" spans="1:2" x14ac:dyDescent="0.25">
      <c r="A18">
        <v>14</v>
      </c>
      <c r="B18" s="5">
        <v>13</v>
      </c>
    </row>
    <row r="19" spans="1:2" x14ac:dyDescent="0.25">
      <c r="A19" t="s">
        <v>2527</v>
      </c>
      <c r="B19" s="5">
        <v>2400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O5" sqref="O5"/>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5.7109375" bestFit="1" customWidth="1"/>
    <col min="9" max="9" width="10.7109375" bestFit="1" customWidth="1"/>
    <col min="10" max="10" width="7.7109375" bestFit="1" customWidth="1"/>
    <col min="11" max="11" width="8.7109375" bestFit="1" customWidth="1"/>
    <col min="12" max="12" width="19.7109375" bestFit="1" customWidth="1"/>
    <col min="13" max="13" width="13.28515625" bestFit="1" customWidth="1"/>
    <col min="14" max="14" width="9.28515625" bestFit="1" customWidth="1"/>
    <col min="15" max="15" width="12.140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Sheet</vt:lpstr>
      <vt:lpstr>Pivot Table</vt:lpstr>
      <vt:lpstr>Sheet1</vt:lpstr>
      <vt:lpstr>Sheet2</vt:lpstr>
      <vt:lpstr>Questions &amp; KPIs</vt:lpstr>
      <vt:lpstr>Popular Products</vt:lpstr>
      <vt:lpstr>Geograpical Chart</vt:lpstr>
      <vt:lpstr>Sheet5</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Prajkta Mohate</cp:lastModifiedBy>
  <dcterms:created xsi:type="dcterms:W3CDTF">2025-06-13T02:42:26Z</dcterms:created>
  <dcterms:modified xsi:type="dcterms:W3CDTF">2026-03-10T03:21:21Z</dcterms:modified>
</cp:coreProperties>
</file>